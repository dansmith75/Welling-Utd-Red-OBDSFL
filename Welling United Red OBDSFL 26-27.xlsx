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0bf0e34a1a610f/Documents/Dan/Football/"/>
    </mc:Choice>
  </mc:AlternateContent>
  <xr:revisionPtr revIDLastSave="7729" documentId="8_{246D5F8C-795F-4E5F-810D-95DA6EE4AF02}" xr6:coauthVersionLast="47" xr6:coauthVersionMax="47" xr10:uidLastSave="{29BDF7EE-8E7E-4B3A-BD82-0EF857ECCC0C}"/>
  <bookViews>
    <workbookView xWindow="-110" yWindow="-110" windowWidth="38620" windowHeight="21100" tabRatio="500" firstSheet="3" activeTab="6" xr2:uid="{6F7A40B9-9DBB-4335-9A8C-F713CF8E3130}"/>
  </bookViews>
  <sheets>
    <sheet name="Fixtures" sheetId="19" r:id="rId1"/>
    <sheet name="Goals" sheetId="12" r:id="rId2"/>
    <sheet name="Assists" sheetId="21" r:id="rId3"/>
    <sheet name="Events" sheetId="22" r:id="rId4"/>
    <sheet name="Match Attendance" sheetId="13" r:id="rId5"/>
    <sheet name="Training Attendance" sheetId="23" r:id="rId6"/>
    <sheet name="Match Info" sheetId="25" r:id="rId7"/>
    <sheet name="Monthly Fees" sheetId="11" r:id="rId8"/>
    <sheet name="Ledger" sheetId="18" r:id="rId9"/>
    <sheet name="Player Costs" sheetId="10" r:id="rId10"/>
    <sheet name="Attendance" sheetId="24" state="hidden" r:id="rId11"/>
    <sheet name="Squad" sheetId="6" r:id="rId12"/>
    <sheet name="Notes" sheetId="15" r:id="rId13"/>
  </sheets>
  <externalReferences>
    <externalReference r:id="rId14"/>
    <externalReference r:id="rId15"/>
  </externalReferenc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 1_889ba4bf-3502-423e-ab21-9e2eeea693fc" name="Table 1" connection="Query - Table 1"/>
          <x15:modelTable id="Table 2_e6e4ebae-a353-4cfc-9f2b-aef34e99f288" name="Table 2" connection="Query - Table 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5" l="1"/>
  <c r="A2" i="25"/>
  <c r="A3" i="25"/>
  <c r="A4" i="25"/>
  <c r="A6" i="25"/>
  <c r="A7" i="25"/>
  <c r="A8" i="25"/>
  <c r="A9" i="25"/>
  <c r="A10" i="25"/>
  <c r="A11" i="25"/>
  <c r="A12" i="25"/>
  <c r="A13" i="25"/>
  <c r="A14" i="25"/>
  <c r="A15" i="25"/>
  <c r="A16" i="25"/>
  <c r="A17" i="25"/>
  <c r="A18" i="25"/>
  <c r="A19" i="25"/>
  <c r="A20" i="25"/>
  <c r="A21" i="25"/>
  <c r="A22" i="25"/>
  <c r="A23" i="25"/>
  <c r="A24" i="25"/>
  <c r="A25" i="25"/>
  <c r="A26" i="25"/>
  <c r="A27" i="25"/>
  <c r="A28" i="25"/>
  <c r="A29" i="25"/>
  <c r="A30" i="25"/>
  <c r="A31" i="25"/>
  <c r="A32" i="25"/>
  <c r="A33" i="25"/>
  <c r="A34" i="25"/>
  <c r="A35" i="25"/>
  <c r="A36" i="25"/>
  <c r="A37" i="25"/>
  <c r="A38" i="25"/>
  <c r="A39" i="25"/>
  <c r="A40" i="25"/>
  <c r="A41" i="25"/>
  <c r="A42" i="25"/>
  <c r="A43" i="25"/>
  <c r="A44" i="25"/>
  <c r="A45" i="25"/>
  <c r="A46" i="25"/>
  <c r="C3" i="25"/>
  <c r="D3" i="25"/>
  <c r="E3" i="25"/>
  <c r="F3" i="25"/>
  <c r="G3" i="25"/>
  <c r="H3" i="25"/>
  <c r="I3" i="25"/>
  <c r="C4" i="25"/>
  <c r="D4" i="25"/>
  <c r="E4" i="25"/>
  <c r="F4" i="25"/>
  <c r="G4" i="25"/>
  <c r="H4" i="25"/>
  <c r="I4" i="25"/>
  <c r="C5" i="25"/>
  <c r="D5" i="25"/>
  <c r="E5" i="25"/>
  <c r="F5" i="25"/>
  <c r="G5" i="25"/>
  <c r="H5" i="25"/>
  <c r="I5" i="25"/>
  <c r="C6" i="25"/>
  <c r="D6" i="25"/>
  <c r="E6" i="25"/>
  <c r="F6" i="25"/>
  <c r="G6" i="25"/>
  <c r="H6" i="25"/>
  <c r="I6" i="25"/>
  <c r="C7" i="25"/>
  <c r="D7" i="25"/>
  <c r="E7" i="25"/>
  <c r="F7" i="25"/>
  <c r="G7" i="25"/>
  <c r="H7" i="25"/>
  <c r="I7" i="25"/>
  <c r="C8" i="25"/>
  <c r="D8" i="25"/>
  <c r="E8" i="25"/>
  <c r="F8" i="25"/>
  <c r="G8" i="25"/>
  <c r="H8" i="25"/>
  <c r="I8" i="25"/>
  <c r="C9" i="25"/>
  <c r="D9" i="25"/>
  <c r="E9" i="25"/>
  <c r="F9" i="25"/>
  <c r="G9" i="25"/>
  <c r="H9" i="25"/>
  <c r="I9" i="25"/>
  <c r="C10" i="25"/>
  <c r="D10" i="25"/>
  <c r="E10" i="25"/>
  <c r="F10" i="25"/>
  <c r="G10" i="25"/>
  <c r="H10" i="25"/>
  <c r="I10" i="25"/>
  <c r="C11" i="25"/>
  <c r="D11" i="25"/>
  <c r="E11" i="25"/>
  <c r="F11" i="25"/>
  <c r="G11" i="25"/>
  <c r="H11" i="25"/>
  <c r="I11" i="25"/>
  <c r="C12" i="25"/>
  <c r="D12" i="25"/>
  <c r="E12" i="25"/>
  <c r="F12" i="25"/>
  <c r="G12" i="25"/>
  <c r="H12" i="25"/>
  <c r="I12" i="25"/>
  <c r="C13" i="25"/>
  <c r="D13" i="25"/>
  <c r="E13" i="25"/>
  <c r="F13" i="25"/>
  <c r="G13" i="25"/>
  <c r="H13" i="25"/>
  <c r="I13" i="25"/>
  <c r="C14" i="25"/>
  <c r="D14" i="25"/>
  <c r="E14" i="25"/>
  <c r="F14" i="25"/>
  <c r="G14" i="25"/>
  <c r="H14" i="25"/>
  <c r="I14" i="25"/>
  <c r="C15" i="25"/>
  <c r="D15" i="25"/>
  <c r="E15" i="25"/>
  <c r="F15" i="25"/>
  <c r="G15" i="25"/>
  <c r="H15" i="25"/>
  <c r="I15" i="25"/>
  <c r="C16" i="25"/>
  <c r="D16" i="25"/>
  <c r="E16" i="25"/>
  <c r="F16" i="25"/>
  <c r="G16" i="25"/>
  <c r="H16" i="25"/>
  <c r="I16" i="25"/>
  <c r="C17" i="25"/>
  <c r="D17" i="25"/>
  <c r="E17" i="25"/>
  <c r="F17" i="25"/>
  <c r="G17" i="25"/>
  <c r="H17" i="25"/>
  <c r="I17" i="25"/>
  <c r="C18" i="25"/>
  <c r="D18" i="25"/>
  <c r="E18" i="25"/>
  <c r="F18" i="25"/>
  <c r="G18" i="25"/>
  <c r="H18" i="25"/>
  <c r="I18" i="25"/>
  <c r="C19" i="25"/>
  <c r="D19" i="25"/>
  <c r="E19" i="25"/>
  <c r="F19" i="25"/>
  <c r="G19" i="25"/>
  <c r="H19" i="25"/>
  <c r="I19" i="25"/>
  <c r="C20" i="25"/>
  <c r="D20" i="25"/>
  <c r="E20" i="25"/>
  <c r="F20" i="25"/>
  <c r="G20" i="25"/>
  <c r="H20" i="25"/>
  <c r="I20" i="25"/>
  <c r="C21" i="25"/>
  <c r="D21" i="25"/>
  <c r="E21" i="25"/>
  <c r="F21" i="25"/>
  <c r="G21" i="25"/>
  <c r="H21" i="25"/>
  <c r="I21" i="25"/>
  <c r="C22" i="25"/>
  <c r="D22" i="25"/>
  <c r="E22" i="25"/>
  <c r="F22" i="25"/>
  <c r="G22" i="25"/>
  <c r="H22" i="25"/>
  <c r="I22" i="25"/>
  <c r="C23" i="25"/>
  <c r="D23" i="25"/>
  <c r="E23" i="25"/>
  <c r="F23" i="25"/>
  <c r="G23" i="25"/>
  <c r="H23" i="25"/>
  <c r="I23" i="25"/>
  <c r="C24" i="25"/>
  <c r="D24" i="25"/>
  <c r="E24" i="25"/>
  <c r="F24" i="25"/>
  <c r="G24" i="25"/>
  <c r="H24" i="25"/>
  <c r="I24" i="25"/>
  <c r="C25" i="25"/>
  <c r="D25" i="25"/>
  <c r="E25" i="25"/>
  <c r="F25" i="25"/>
  <c r="G25" i="25"/>
  <c r="H25" i="25"/>
  <c r="I25" i="25"/>
  <c r="C26" i="25"/>
  <c r="D26" i="25"/>
  <c r="E26" i="25"/>
  <c r="F26" i="25"/>
  <c r="G26" i="25"/>
  <c r="H26" i="25"/>
  <c r="I26" i="25"/>
  <c r="C27" i="25"/>
  <c r="D27" i="25"/>
  <c r="E27" i="25"/>
  <c r="F27" i="25"/>
  <c r="G27" i="25"/>
  <c r="H27" i="25"/>
  <c r="I27" i="25"/>
  <c r="C28" i="25"/>
  <c r="D28" i="25"/>
  <c r="E28" i="25"/>
  <c r="F28" i="25"/>
  <c r="G28" i="25"/>
  <c r="H28" i="25"/>
  <c r="I28" i="25"/>
  <c r="C29" i="25"/>
  <c r="D29" i="25"/>
  <c r="E29" i="25"/>
  <c r="F29" i="25"/>
  <c r="G29" i="25"/>
  <c r="H29" i="25"/>
  <c r="I29" i="25"/>
  <c r="C30" i="25"/>
  <c r="D30" i="25"/>
  <c r="E30" i="25"/>
  <c r="F30" i="25"/>
  <c r="G30" i="25"/>
  <c r="H30" i="25"/>
  <c r="I30" i="25"/>
  <c r="C31" i="25"/>
  <c r="D31" i="25"/>
  <c r="E31" i="25"/>
  <c r="F31" i="25"/>
  <c r="G31" i="25"/>
  <c r="H31" i="25"/>
  <c r="I31" i="25"/>
  <c r="C32" i="25"/>
  <c r="D32" i="25"/>
  <c r="E32" i="25"/>
  <c r="F32" i="25"/>
  <c r="G32" i="25"/>
  <c r="H32" i="25"/>
  <c r="I32" i="25"/>
  <c r="C33" i="25"/>
  <c r="D33" i="25"/>
  <c r="E33" i="25"/>
  <c r="F33" i="25"/>
  <c r="G33" i="25"/>
  <c r="H33" i="25"/>
  <c r="I33" i="25"/>
  <c r="C34" i="25"/>
  <c r="D34" i="25"/>
  <c r="E34" i="25"/>
  <c r="F34" i="25"/>
  <c r="G34" i="25"/>
  <c r="H34" i="25"/>
  <c r="I34" i="25"/>
  <c r="C35" i="25"/>
  <c r="D35" i="25"/>
  <c r="E35" i="25"/>
  <c r="F35" i="25"/>
  <c r="G35" i="25"/>
  <c r="H35" i="25"/>
  <c r="I35" i="25"/>
  <c r="C36" i="25"/>
  <c r="D36" i="25"/>
  <c r="E36" i="25"/>
  <c r="F36" i="25"/>
  <c r="G36" i="25"/>
  <c r="H36" i="25"/>
  <c r="I36" i="25"/>
  <c r="C37" i="25"/>
  <c r="D37" i="25"/>
  <c r="E37" i="25"/>
  <c r="F37" i="25"/>
  <c r="G37" i="25"/>
  <c r="H37" i="25"/>
  <c r="I37" i="25"/>
  <c r="C38" i="25"/>
  <c r="D38" i="25"/>
  <c r="E38" i="25"/>
  <c r="F38" i="25"/>
  <c r="G38" i="25"/>
  <c r="H38" i="25"/>
  <c r="I38" i="25"/>
  <c r="C39" i="25"/>
  <c r="D39" i="25"/>
  <c r="E39" i="25"/>
  <c r="F39" i="25"/>
  <c r="G39" i="25"/>
  <c r="H39" i="25"/>
  <c r="I39" i="25"/>
  <c r="C40" i="25"/>
  <c r="D40" i="25"/>
  <c r="E40" i="25"/>
  <c r="F40" i="25"/>
  <c r="G40" i="25"/>
  <c r="H40" i="25"/>
  <c r="I40" i="25"/>
  <c r="C41" i="25"/>
  <c r="D41" i="25"/>
  <c r="E41" i="25"/>
  <c r="F41" i="25"/>
  <c r="G41" i="25"/>
  <c r="H41" i="25"/>
  <c r="I41" i="25"/>
  <c r="C42" i="25"/>
  <c r="D42" i="25"/>
  <c r="E42" i="25"/>
  <c r="F42" i="25"/>
  <c r="G42" i="25"/>
  <c r="H42" i="25"/>
  <c r="I42" i="25"/>
  <c r="C43" i="25"/>
  <c r="D43" i="25"/>
  <c r="E43" i="25"/>
  <c r="F43" i="25"/>
  <c r="G43" i="25"/>
  <c r="H43" i="25"/>
  <c r="I43" i="25"/>
  <c r="C44" i="25"/>
  <c r="D44" i="25"/>
  <c r="E44" i="25"/>
  <c r="F44" i="25"/>
  <c r="G44" i="25"/>
  <c r="H44" i="25"/>
  <c r="I44" i="25"/>
  <c r="C45" i="25"/>
  <c r="D45" i="25"/>
  <c r="E45" i="25"/>
  <c r="F45" i="25"/>
  <c r="G45" i="25"/>
  <c r="H45" i="25"/>
  <c r="I45" i="25"/>
  <c r="C46" i="25"/>
  <c r="D46" i="25"/>
  <c r="E46" i="25"/>
  <c r="F46" i="25"/>
  <c r="G46" i="25"/>
  <c r="H46" i="25"/>
  <c r="I46" i="25"/>
  <c r="B3" i="25"/>
  <c r="B4" i="25"/>
  <c r="B5" i="25"/>
  <c r="B6" i="25"/>
  <c r="B7" i="25"/>
  <c r="B8" i="25"/>
  <c r="B9" i="25"/>
  <c r="B10" i="25"/>
  <c r="B11" i="25"/>
  <c r="B12" i="25"/>
  <c r="B13" i="25"/>
  <c r="B14" i="25"/>
  <c r="B15" i="25"/>
  <c r="B16" i="25"/>
  <c r="B17" i="25"/>
  <c r="B18" i="25"/>
  <c r="B19" i="25"/>
  <c r="B20" i="25"/>
  <c r="B21" i="25"/>
  <c r="B22" i="25"/>
  <c r="B23" i="25"/>
  <c r="B24" i="25"/>
  <c r="B25" i="25"/>
  <c r="B26" i="25"/>
  <c r="B27" i="25"/>
  <c r="B28" i="25"/>
  <c r="B29" i="25"/>
  <c r="B30" i="25"/>
  <c r="B31" i="25"/>
  <c r="B32" i="25"/>
  <c r="B33" i="25"/>
  <c r="B34" i="25"/>
  <c r="B35" i="25"/>
  <c r="B36" i="25"/>
  <c r="B37" i="25"/>
  <c r="B38" i="25"/>
  <c r="B39" i="25"/>
  <c r="B40" i="25"/>
  <c r="B41" i="25"/>
  <c r="B42" i="25"/>
  <c r="B43" i="25"/>
  <c r="B44" i="25"/>
  <c r="B45" i="25"/>
  <c r="B46" i="25"/>
  <c r="I2" i="25"/>
  <c r="H2" i="25"/>
  <c r="G2" i="25"/>
  <c r="F2" i="25"/>
  <c r="E2" i="25"/>
  <c r="D2" i="25"/>
  <c r="C2" i="25"/>
  <c r="B2" i="25"/>
  <c r="B2" i="23"/>
  <c r="D2" i="24"/>
  <c r="D3" i="24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8" i="24"/>
  <c r="D119" i="24"/>
  <c r="D120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143" i="24"/>
  <c r="D144" i="24"/>
  <c r="D145" i="24"/>
  <c r="D146" i="24"/>
  <c r="D147" i="24"/>
  <c r="D148" i="24"/>
  <c r="D149" i="24"/>
  <c r="D150" i="24"/>
  <c r="D151" i="24"/>
  <c r="D152" i="24"/>
  <c r="D153" i="24"/>
  <c r="D154" i="24"/>
  <c r="D155" i="24"/>
  <c r="D156" i="24"/>
  <c r="D157" i="24"/>
  <c r="D158" i="24"/>
  <c r="D159" i="24"/>
  <c r="D160" i="24"/>
  <c r="D161" i="24"/>
  <c r="D162" i="24"/>
  <c r="D163" i="24"/>
  <c r="D164" i="24"/>
  <c r="D165" i="24"/>
  <c r="D166" i="24"/>
  <c r="D167" i="24"/>
  <c r="D168" i="24"/>
  <c r="D169" i="24"/>
  <c r="D170" i="24"/>
  <c r="D171" i="24"/>
  <c r="D172" i="24"/>
  <c r="D173" i="24"/>
  <c r="D174" i="24"/>
  <c r="D175" i="24"/>
  <c r="D176" i="24"/>
  <c r="D177" i="24"/>
  <c r="D178" i="24"/>
  <c r="D179" i="24"/>
  <c r="D180" i="24"/>
  <c r="D181" i="24"/>
  <c r="D182" i="24"/>
  <c r="D183" i="24"/>
  <c r="D184" i="24"/>
  <c r="D185" i="24"/>
  <c r="D186" i="24"/>
  <c r="D187" i="24"/>
  <c r="D188" i="24"/>
  <c r="D189" i="24"/>
  <c r="D190" i="24"/>
  <c r="D191" i="24"/>
  <c r="D192" i="24"/>
  <c r="D193" i="24"/>
  <c r="D194" i="24"/>
  <c r="D195" i="24"/>
  <c r="D196" i="24"/>
  <c r="D197" i="24"/>
  <c r="D198" i="24"/>
  <c r="D199" i="24"/>
  <c r="D200" i="24"/>
  <c r="D201" i="24"/>
  <c r="D202" i="24"/>
  <c r="D203" i="24"/>
  <c r="D204" i="24"/>
  <c r="D205" i="24"/>
  <c r="D206" i="24"/>
  <c r="D207" i="24"/>
  <c r="D208" i="24"/>
  <c r="D209" i="24"/>
  <c r="D210" i="24"/>
  <c r="D211" i="24"/>
  <c r="D212" i="24"/>
  <c r="D213" i="24"/>
  <c r="D214" i="24"/>
  <c r="D215" i="24"/>
  <c r="D216" i="24"/>
  <c r="D217" i="24"/>
  <c r="D218" i="24"/>
  <c r="D219" i="24"/>
  <c r="D220" i="24"/>
  <c r="D221" i="24"/>
  <c r="D222" i="24"/>
  <c r="D223" i="24"/>
  <c r="D224" i="24"/>
  <c r="D225" i="24"/>
  <c r="D226" i="24"/>
  <c r="D227" i="24"/>
  <c r="D228" i="24"/>
  <c r="D229" i="24"/>
  <c r="D230" i="24"/>
  <c r="D231" i="24"/>
  <c r="D232" i="24"/>
  <c r="D233" i="24"/>
  <c r="D234" i="24"/>
  <c r="D235" i="24"/>
  <c r="D236" i="24"/>
  <c r="D237" i="24"/>
  <c r="D238" i="24"/>
  <c r="D239" i="24"/>
  <c r="D240" i="24"/>
  <c r="D241" i="24"/>
  <c r="D242" i="24"/>
  <c r="D243" i="24"/>
  <c r="D244" i="24"/>
  <c r="D245" i="24"/>
  <c r="D246" i="24"/>
  <c r="D247" i="24"/>
  <c r="D248" i="24"/>
  <c r="D249" i="24"/>
  <c r="D250" i="24"/>
  <c r="D251" i="24"/>
  <c r="D252" i="24"/>
  <c r="D253" i="24"/>
  <c r="D254" i="24"/>
  <c r="D255" i="24"/>
  <c r="D256" i="24"/>
  <c r="D257" i="24"/>
  <c r="D258" i="24"/>
  <c r="D259" i="24"/>
  <c r="D260" i="24"/>
  <c r="D261" i="24"/>
  <c r="D262" i="24"/>
  <c r="D263" i="24"/>
  <c r="D264" i="24"/>
  <c r="D265" i="24"/>
  <c r="D266" i="24"/>
  <c r="D267" i="24"/>
  <c r="D268" i="24"/>
  <c r="D269" i="24"/>
  <c r="D270" i="24"/>
  <c r="D271" i="24"/>
  <c r="D272" i="24"/>
  <c r="D273" i="24"/>
  <c r="D274" i="24"/>
  <c r="D275" i="24"/>
  <c r="D276" i="24"/>
  <c r="D277" i="24"/>
  <c r="D278" i="24"/>
  <c r="D279" i="24"/>
  <c r="D280" i="24"/>
  <c r="D281" i="24"/>
  <c r="D282" i="24"/>
  <c r="D283" i="24"/>
  <c r="D284" i="24"/>
  <c r="D285" i="24"/>
  <c r="D286" i="24"/>
  <c r="D287" i="24"/>
  <c r="D288" i="24"/>
  <c r="D289" i="24"/>
  <c r="D290" i="24"/>
  <c r="D291" i="24"/>
  <c r="D292" i="24"/>
  <c r="D293" i="24"/>
  <c r="D294" i="24"/>
  <c r="D295" i="24"/>
  <c r="D296" i="24"/>
  <c r="D297" i="24"/>
  <c r="D298" i="24"/>
  <c r="D299" i="24"/>
  <c r="D300" i="24"/>
  <c r="C2" i="24"/>
  <c r="C3" i="24"/>
  <c r="C4" i="24"/>
  <c r="C5" i="24"/>
  <c r="C6" i="24"/>
  <c r="C7" i="24"/>
  <c r="C8" i="24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30" i="24"/>
  <c r="C31" i="24"/>
  <c r="C32" i="24"/>
  <c r="C33" i="24"/>
  <c r="C34" i="24"/>
  <c r="C35" i="24"/>
  <c r="C36" i="24"/>
  <c r="C37" i="24"/>
  <c r="C38" i="24"/>
  <c r="C39" i="24"/>
  <c r="C40" i="24"/>
  <c r="C41" i="24"/>
  <c r="C42" i="24"/>
  <c r="C43" i="24"/>
  <c r="C44" i="24"/>
  <c r="C45" i="24"/>
  <c r="C46" i="24"/>
  <c r="C47" i="24"/>
  <c r="C48" i="24"/>
  <c r="C49" i="24"/>
  <c r="C50" i="24"/>
  <c r="C51" i="24"/>
  <c r="C52" i="24"/>
  <c r="C53" i="24"/>
  <c r="C54" i="24"/>
  <c r="C55" i="24"/>
  <c r="C56" i="24"/>
  <c r="C57" i="24"/>
  <c r="C58" i="24"/>
  <c r="C59" i="24"/>
  <c r="C60" i="24"/>
  <c r="C61" i="24"/>
  <c r="C62" i="24"/>
  <c r="C63" i="24"/>
  <c r="C64" i="24"/>
  <c r="C65" i="24"/>
  <c r="C66" i="24"/>
  <c r="C67" i="24"/>
  <c r="C68" i="24"/>
  <c r="C69" i="24"/>
  <c r="C70" i="24"/>
  <c r="C71" i="24"/>
  <c r="C72" i="24"/>
  <c r="C73" i="24"/>
  <c r="C74" i="24"/>
  <c r="C75" i="24"/>
  <c r="C76" i="24"/>
  <c r="C77" i="24"/>
  <c r="C78" i="24"/>
  <c r="C79" i="24"/>
  <c r="C80" i="24"/>
  <c r="C81" i="24"/>
  <c r="C82" i="24"/>
  <c r="C83" i="24"/>
  <c r="C84" i="24"/>
  <c r="C85" i="24"/>
  <c r="C86" i="24"/>
  <c r="C87" i="24"/>
  <c r="C88" i="24"/>
  <c r="C89" i="24"/>
  <c r="C90" i="24"/>
  <c r="C91" i="24"/>
  <c r="C92" i="24"/>
  <c r="C93" i="24"/>
  <c r="C94" i="24"/>
  <c r="C95" i="24"/>
  <c r="C96" i="24"/>
  <c r="C97" i="24"/>
  <c r="C98" i="24"/>
  <c r="C99" i="24"/>
  <c r="C100" i="24"/>
  <c r="C101" i="24"/>
  <c r="C102" i="24"/>
  <c r="C103" i="24"/>
  <c r="C104" i="24"/>
  <c r="C105" i="24"/>
  <c r="C106" i="24"/>
  <c r="C107" i="24"/>
  <c r="C108" i="24"/>
  <c r="C109" i="24"/>
  <c r="C110" i="24"/>
  <c r="C111" i="24"/>
  <c r="C112" i="24"/>
  <c r="C113" i="24"/>
  <c r="C114" i="24"/>
  <c r="C115" i="24"/>
  <c r="C116" i="24"/>
  <c r="C117" i="24"/>
  <c r="C118" i="24"/>
  <c r="C119" i="24"/>
  <c r="C120" i="24"/>
  <c r="C121" i="24"/>
  <c r="C122" i="24"/>
  <c r="C123" i="24"/>
  <c r="C124" i="24"/>
  <c r="C125" i="24"/>
  <c r="C126" i="24"/>
  <c r="C127" i="24"/>
  <c r="C128" i="24"/>
  <c r="C129" i="24"/>
  <c r="C130" i="24"/>
  <c r="C131" i="24"/>
  <c r="C132" i="24"/>
  <c r="C133" i="24"/>
  <c r="C134" i="24"/>
  <c r="C135" i="24"/>
  <c r="C136" i="24"/>
  <c r="C137" i="24"/>
  <c r="C138" i="24"/>
  <c r="C139" i="24"/>
  <c r="C140" i="24"/>
  <c r="C141" i="24"/>
  <c r="C142" i="24"/>
  <c r="C143" i="24"/>
  <c r="C144" i="24"/>
  <c r="C145" i="24"/>
  <c r="C146" i="24"/>
  <c r="C147" i="24"/>
  <c r="C148" i="24"/>
  <c r="C149" i="24"/>
  <c r="C150" i="24"/>
  <c r="C151" i="24"/>
  <c r="C152" i="24"/>
  <c r="C153" i="24"/>
  <c r="C154" i="24"/>
  <c r="C155" i="24"/>
  <c r="C156" i="24"/>
  <c r="C157" i="24"/>
  <c r="C158" i="24"/>
  <c r="C159" i="24"/>
  <c r="C160" i="24"/>
  <c r="C161" i="24"/>
  <c r="C162" i="24"/>
  <c r="C163" i="24"/>
  <c r="C164" i="24"/>
  <c r="C165" i="24"/>
  <c r="C166" i="24"/>
  <c r="C167" i="24"/>
  <c r="C168" i="24"/>
  <c r="C169" i="24"/>
  <c r="C170" i="24"/>
  <c r="C171" i="24"/>
  <c r="C172" i="24"/>
  <c r="C173" i="24"/>
  <c r="C174" i="24"/>
  <c r="C175" i="24"/>
  <c r="C176" i="24"/>
  <c r="C177" i="24"/>
  <c r="C178" i="24"/>
  <c r="C179" i="24"/>
  <c r="C180" i="24"/>
  <c r="C181" i="24"/>
  <c r="C182" i="24"/>
  <c r="C183" i="24"/>
  <c r="C184" i="24"/>
  <c r="C185" i="24"/>
  <c r="C186" i="24"/>
  <c r="C187" i="24"/>
  <c r="C188" i="24"/>
  <c r="C189" i="24"/>
  <c r="C190" i="24"/>
  <c r="C191" i="24"/>
  <c r="C192" i="24"/>
  <c r="C193" i="24"/>
  <c r="C194" i="24"/>
  <c r="C195" i="24"/>
  <c r="C196" i="24"/>
  <c r="C197" i="24"/>
  <c r="C198" i="24"/>
  <c r="C199" i="24"/>
  <c r="C200" i="24"/>
  <c r="C201" i="24"/>
  <c r="C202" i="24"/>
  <c r="C203" i="24"/>
  <c r="C204" i="24"/>
  <c r="C205" i="24"/>
  <c r="C206" i="24"/>
  <c r="C207" i="24"/>
  <c r="C208" i="24"/>
  <c r="C209" i="24"/>
  <c r="C210" i="24"/>
  <c r="C211" i="24"/>
  <c r="C212" i="24"/>
  <c r="C213" i="24"/>
  <c r="C214" i="24"/>
  <c r="C215" i="24"/>
  <c r="C216" i="24"/>
  <c r="C217" i="24"/>
  <c r="C218" i="24"/>
  <c r="C219" i="24"/>
  <c r="C220" i="24"/>
  <c r="C221" i="24"/>
  <c r="C222" i="24"/>
  <c r="C223" i="24"/>
  <c r="C224" i="24"/>
  <c r="C225" i="24"/>
  <c r="C226" i="24"/>
  <c r="C227" i="24"/>
  <c r="C228" i="24"/>
  <c r="C229" i="24"/>
  <c r="C230" i="24"/>
  <c r="C231" i="24"/>
  <c r="C232" i="24"/>
  <c r="C233" i="24"/>
  <c r="C234" i="24"/>
  <c r="C235" i="24"/>
  <c r="C236" i="24"/>
  <c r="C237" i="24"/>
  <c r="C238" i="24"/>
  <c r="C239" i="24"/>
  <c r="C240" i="24"/>
  <c r="C241" i="24"/>
  <c r="C242" i="24"/>
  <c r="C243" i="24"/>
  <c r="C244" i="24"/>
  <c r="C245" i="24"/>
  <c r="C246" i="24"/>
  <c r="C247" i="24"/>
  <c r="C248" i="24"/>
  <c r="C249" i="24"/>
  <c r="C250" i="24"/>
  <c r="C251" i="24"/>
  <c r="C252" i="24"/>
  <c r="C253" i="24"/>
  <c r="C254" i="24"/>
  <c r="C255" i="24"/>
  <c r="C256" i="24"/>
  <c r="C257" i="24"/>
  <c r="C258" i="24"/>
  <c r="C259" i="24"/>
  <c r="C260" i="24"/>
  <c r="C261" i="24"/>
  <c r="C262" i="24"/>
  <c r="C263" i="24"/>
  <c r="C264" i="24"/>
  <c r="C265" i="24"/>
  <c r="C266" i="24"/>
  <c r="C267" i="24"/>
  <c r="C268" i="24"/>
  <c r="C269" i="24"/>
  <c r="C270" i="24"/>
  <c r="C271" i="24"/>
  <c r="C272" i="24"/>
  <c r="C273" i="24"/>
  <c r="C274" i="24"/>
  <c r="C275" i="24"/>
  <c r="C276" i="24"/>
  <c r="C277" i="24"/>
  <c r="C278" i="24"/>
  <c r="C279" i="24"/>
  <c r="C280" i="24"/>
  <c r="C281" i="24"/>
  <c r="C282" i="24"/>
  <c r="C283" i="24"/>
  <c r="C284" i="24"/>
  <c r="C285" i="24"/>
  <c r="C286" i="24"/>
  <c r="C287" i="24"/>
  <c r="C288" i="24"/>
  <c r="C289" i="24"/>
  <c r="C290" i="24"/>
  <c r="C291" i="24"/>
  <c r="C292" i="24"/>
  <c r="C293" i="24"/>
  <c r="C294" i="24"/>
  <c r="C295" i="24"/>
  <c r="C296" i="24"/>
  <c r="C297" i="24"/>
  <c r="C298" i="24"/>
  <c r="C299" i="24"/>
  <c r="C300" i="24"/>
  <c r="B2" i="24"/>
  <c r="B3" i="24"/>
  <c r="B4" i="24"/>
  <c r="B5" i="24"/>
  <c r="B6" i="24"/>
  <c r="B7" i="24"/>
  <c r="B8" i="24"/>
  <c r="B9" i="24"/>
  <c r="B10" i="24"/>
  <c r="B11" i="24"/>
  <c r="B12" i="24"/>
  <c r="B13" i="24"/>
  <c r="B14" i="24"/>
  <c r="B15" i="24"/>
  <c r="B16" i="24"/>
  <c r="B17" i="24"/>
  <c r="B18" i="24"/>
  <c r="B19" i="24"/>
  <c r="B20" i="24"/>
  <c r="B21" i="24"/>
  <c r="B22" i="24"/>
  <c r="B23" i="24"/>
  <c r="B24" i="24"/>
  <c r="B25" i="24"/>
  <c r="B26" i="24"/>
  <c r="B27" i="24"/>
  <c r="B28" i="24"/>
  <c r="B29" i="24"/>
  <c r="B30" i="24"/>
  <c r="B31" i="24"/>
  <c r="B32" i="24"/>
  <c r="B33" i="24"/>
  <c r="B34" i="24"/>
  <c r="B35" i="24"/>
  <c r="B36" i="24"/>
  <c r="B37" i="24"/>
  <c r="B38" i="24"/>
  <c r="B39" i="24"/>
  <c r="B40" i="24"/>
  <c r="B41" i="24"/>
  <c r="B42" i="24"/>
  <c r="B43" i="24"/>
  <c r="B44" i="24"/>
  <c r="B45" i="24"/>
  <c r="B46" i="24"/>
  <c r="B47" i="24"/>
  <c r="B48" i="24"/>
  <c r="B49" i="24"/>
  <c r="B50" i="24"/>
  <c r="B51" i="24"/>
  <c r="B52" i="24"/>
  <c r="B53" i="24"/>
  <c r="B54" i="24"/>
  <c r="B55" i="24"/>
  <c r="B56" i="24"/>
  <c r="B57" i="24"/>
  <c r="B58" i="24"/>
  <c r="B59" i="24"/>
  <c r="B60" i="24"/>
  <c r="B61" i="24"/>
  <c r="B62" i="24"/>
  <c r="B63" i="24"/>
  <c r="B64" i="24"/>
  <c r="B65" i="24"/>
  <c r="B66" i="24"/>
  <c r="B67" i="24"/>
  <c r="B68" i="24"/>
  <c r="B69" i="24"/>
  <c r="B70" i="24"/>
  <c r="B71" i="24"/>
  <c r="B72" i="24"/>
  <c r="B73" i="24"/>
  <c r="B74" i="24"/>
  <c r="B75" i="24"/>
  <c r="B76" i="24"/>
  <c r="B77" i="24"/>
  <c r="B78" i="24"/>
  <c r="B79" i="24"/>
  <c r="B80" i="24"/>
  <c r="B81" i="24"/>
  <c r="B82" i="24"/>
  <c r="B83" i="24"/>
  <c r="B84" i="24"/>
  <c r="B85" i="24"/>
  <c r="B86" i="24"/>
  <c r="B87" i="24"/>
  <c r="B88" i="24"/>
  <c r="B89" i="24"/>
  <c r="B90" i="24"/>
  <c r="B91" i="24"/>
  <c r="B92" i="24"/>
  <c r="B93" i="24"/>
  <c r="B94" i="24"/>
  <c r="B95" i="24"/>
  <c r="B96" i="24"/>
  <c r="B97" i="24"/>
  <c r="B98" i="24"/>
  <c r="B99" i="24"/>
  <c r="B100" i="24"/>
  <c r="B101" i="24"/>
  <c r="B102" i="24"/>
  <c r="B103" i="24"/>
  <c r="B104" i="24"/>
  <c r="B105" i="24"/>
  <c r="B106" i="24"/>
  <c r="B107" i="24"/>
  <c r="B108" i="24"/>
  <c r="B109" i="24"/>
  <c r="B110" i="24"/>
  <c r="B111" i="24"/>
  <c r="B112" i="24"/>
  <c r="B113" i="24"/>
  <c r="B114" i="24"/>
  <c r="B115" i="24"/>
  <c r="B116" i="24"/>
  <c r="B117" i="24"/>
  <c r="B118" i="24"/>
  <c r="B119" i="24"/>
  <c r="B120" i="24"/>
  <c r="B121" i="24"/>
  <c r="B122" i="24"/>
  <c r="B123" i="24"/>
  <c r="B124" i="24"/>
  <c r="B125" i="24"/>
  <c r="B126" i="24"/>
  <c r="B127" i="24"/>
  <c r="B128" i="24"/>
  <c r="B129" i="24"/>
  <c r="B130" i="24"/>
  <c r="B131" i="24"/>
  <c r="B132" i="24"/>
  <c r="B133" i="24"/>
  <c r="B134" i="24"/>
  <c r="B135" i="24"/>
  <c r="B136" i="24"/>
  <c r="B137" i="24"/>
  <c r="B138" i="24"/>
  <c r="B139" i="24"/>
  <c r="B140" i="24"/>
  <c r="B141" i="24"/>
  <c r="B142" i="24"/>
  <c r="B143" i="24"/>
  <c r="B144" i="24"/>
  <c r="B145" i="24"/>
  <c r="B146" i="24"/>
  <c r="B147" i="24"/>
  <c r="B148" i="24"/>
  <c r="B149" i="24"/>
  <c r="B150" i="24"/>
  <c r="B151" i="24"/>
  <c r="B152" i="24"/>
  <c r="B153" i="24"/>
  <c r="B154" i="24"/>
  <c r="B155" i="24"/>
  <c r="B156" i="24"/>
  <c r="B157" i="24"/>
  <c r="B158" i="24"/>
  <c r="B159" i="24"/>
  <c r="B160" i="24"/>
  <c r="B161" i="24"/>
  <c r="B162" i="24"/>
  <c r="B163" i="24"/>
  <c r="B164" i="24"/>
  <c r="B165" i="24"/>
  <c r="B166" i="24"/>
  <c r="B167" i="24"/>
  <c r="B168" i="24"/>
  <c r="B169" i="24"/>
  <c r="B170" i="24"/>
  <c r="B171" i="24"/>
  <c r="B172" i="24"/>
  <c r="B173" i="24"/>
  <c r="B174" i="24"/>
  <c r="B175" i="24"/>
  <c r="B176" i="24"/>
  <c r="B177" i="24"/>
  <c r="B178" i="24"/>
  <c r="B179" i="24"/>
  <c r="B180" i="24"/>
  <c r="B181" i="24"/>
  <c r="B182" i="24"/>
  <c r="B183" i="24"/>
  <c r="B184" i="24"/>
  <c r="B185" i="24"/>
  <c r="B186" i="24"/>
  <c r="B187" i="24"/>
  <c r="B188" i="24"/>
  <c r="B189" i="24"/>
  <c r="B190" i="24"/>
  <c r="B191" i="24"/>
  <c r="B192" i="24"/>
  <c r="B193" i="24"/>
  <c r="B194" i="24"/>
  <c r="B195" i="24"/>
  <c r="B196" i="24"/>
  <c r="B197" i="24"/>
  <c r="B198" i="24"/>
  <c r="B199" i="24"/>
  <c r="B200" i="24"/>
  <c r="B201" i="24"/>
  <c r="B202" i="24"/>
  <c r="B203" i="24"/>
  <c r="B204" i="24"/>
  <c r="B205" i="24"/>
  <c r="B206" i="24"/>
  <c r="B207" i="24"/>
  <c r="B208" i="24"/>
  <c r="B209" i="24"/>
  <c r="B210" i="24"/>
  <c r="B211" i="24"/>
  <c r="B212" i="24"/>
  <c r="B213" i="24"/>
  <c r="B214" i="24"/>
  <c r="B215" i="24"/>
  <c r="B216" i="24"/>
  <c r="B217" i="24"/>
  <c r="B218" i="24"/>
  <c r="B219" i="24"/>
  <c r="B220" i="24"/>
  <c r="B221" i="24"/>
  <c r="B222" i="24"/>
  <c r="B223" i="24"/>
  <c r="B224" i="24"/>
  <c r="B225" i="24"/>
  <c r="B226" i="24"/>
  <c r="B227" i="24"/>
  <c r="B228" i="24"/>
  <c r="B229" i="24"/>
  <c r="B230" i="24"/>
  <c r="B231" i="24"/>
  <c r="B232" i="24"/>
  <c r="B233" i="24"/>
  <c r="B234" i="24"/>
  <c r="B235" i="24"/>
  <c r="B236" i="24"/>
  <c r="B237" i="24"/>
  <c r="B238" i="24"/>
  <c r="B239" i="24"/>
  <c r="B240" i="24"/>
  <c r="B241" i="24"/>
  <c r="B242" i="24"/>
  <c r="B243" i="24"/>
  <c r="B244" i="24"/>
  <c r="B245" i="24"/>
  <c r="B246" i="24"/>
  <c r="B247" i="24"/>
  <c r="B248" i="24"/>
  <c r="B249" i="24"/>
  <c r="B250" i="24"/>
  <c r="B251" i="24"/>
  <c r="B252" i="24"/>
  <c r="B253" i="24"/>
  <c r="B254" i="24"/>
  <c r="B255" i="24"/>
  <c r="B256" i="24"/>
  <c r="B257" i="24"/>
  <c r="B258" i="24"/>
  <c r="B259" i="24"/>
  <c r="B260" i="24"/>
  <c r="B261" i="24"/>
  <c r="B262" i="24"/>
  <c r="B263" i="24"/>
  <c r="B264" i="24"/>
  <c r="B265" i="24"/>
  <c r="B266" i="24"/>
  <c r="B267" i="24"/>
  <c r="B268" i="24"/>
  <c r="B269" i="24"/>
  <c r="B270" i="24"/>
  <c r="B271" i="24"/>
  <c r="B272" i="24"/>
  <c r="B273" i="24"/>
  <c r="B274" i="24"/>
  <c r="B275" i="24"/>
  <c r="B276" i="24"/>
  <c r="B277" i="24"/>
  <c r="B278" i="24"/>
  <c r="B279" i="24"/>
  <c r="B280" i="24"/>
  <c r="B281" i="24"/>
  <c r="B282" i="24"/>
  <c r="B283" i="24"/>
  <c r="B284" i="24"/>
  <c r="B285" i="24"/>
  <c r="B286" i="24"/>
  <c r="B287" i="24"/>
  <c r="B288" i="24"/>
  <c r="B289" i="24"/>
  <c r="B290" i="24"/>
  <c r="B291" i="24"/>
  <c r="B292" i="24"/>
  <c r="B293" i="24"/>
  <c r="B294" i="24"/>
  <c r="B295" i="24"/>
  <c r="B296" i="24"/>
  <c r="B297" i="24"/>
  <c r="B298" i="24"/>
  <c r="B299" i="24"/>
  <c r="B300" i="24"/>
  <c r="A2" i="24"/>
  <c r="A3" i="24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B29" i="11"/>
  <c r="C29" i="11"/>
  <c r="D29" i="11"/>
  <c r="E29" i="11"/>
  <c r="F29" i="11"/>
  <c r="G29" i="11"/>
  <c r="H29" i="11"/>
  <c r="I29" i="11"/>
  <c r="J29" i="11"/>
  <c r="K29" i="11"/>
  <c r="L29" i="11"/>
  <c r="M29" i="11"/>
  <c r="A27" i="11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A3" i="13"/>
  <c r="A4" i="13"/>
  <c r="A5" i="13"/>
  <c r="A6" i="13"/>
  <c r="A7" i="13"/>
  <c r="A8" i="13"/>
  <c r="A9" i="13"/>
  <c r="A10" i="13"/>
  <c r="A11" i="13"/>
  <c r="B11" i="13" s="1"/>
  <c r="A12" i="13"/>
  <c r="A13" i="13"/>
  <c r="A14" i="13"/>
  <c r="A15" i="13"/>
  <c r="A16" i="13"/>
  <c r="A17" i="13"/>
  <c r="A18" i="13"/>
  <c r="A19" i="13"/>
  <c r="A20" i="13"/>
  <c r="A21" i="13"/>
  <c r="B21" i="13" s="1"/>
  <c r="A22" i="13"/>
  <c r="B22" i="13" s="1"/>
  <c r="A23" i="13"/>
  <c r="B23" i="13" s="1"/>
  <c r="A24" i="13"/>
  <c r="B24" i="13" s="1"/>
  <c r="A25" i="13"/>
  <c r="B25" i="13" s="1"/>
  <c r="A26" i="13"/>
  <c r="B26" i="13" s="1"/>
  <c r="A27" i="13"/>
  <c r="A28" i="13"/>
  <c r="A29" i="13"/>
  <c r="A30" i="13"/>
  <c r="A31" i="13"/>
  <c r="A32" i="13"/>
  <c r="B32" i="13" s="1"/>
  <c r="A33" i="13"/>
  <c r="B33" i="13" s="1"/>
  <c r="A34" i="13"/>
  <c r="B34" i="13" s="1"/>
  <c r="A35" i="13"/>
  <c r="A36" i="13"/>
  <c r="A37" i="13"/>
  <c r="A38" i="13"/>
  <c r="A39" i="13"/>
  <c r="A40" i="13"/>
  <c r="A41" i="13"/>
  <c r="B41" i="13" s="1"/>
  <c r="A42" i="13"/>
  <c r="A43" i="13"/>
  <c r="A44" i="13"/>
  <c r="B44" i="13" s="1"/>
  <c r="A45" i="13"/>
  <c r="B45" i="13" s="1"/>
  <c r="A46" i="13"/>
  <c r="B46" i="13" s="1"/>
  <c r="A47" i="13"/>
  <c r="B47" i="13" s="1"/>
  <c r="A48" i="13"/>
  <c r="B48" i="13" s="1"/>
  <c r="A49" i="13"/>
  <c r="B49" i="13" s="1"/>
  <c r="A50" i="13"/>
  <c r="B50" i="13" s="1"/>
  <c r="A51" i="13"/>
  <c r="A52" i="13"/>
  <c r="A53" i="13"/>
  <c r="Z58" i="13"/>
  <c r="AA58" i="13"/>
  <c r="AB58" i="13"/>
  <c r="AC58" i="13"/>
  <c r="E60" i="13"/>
  <c r="F60" i="13"/>
  <c r="G60" i="13"/>
  <c r="H60" i="13"/>
  <c r="I60" i="13"/>
  <c r="J60" i="13"/>
  <c r="K60" i="13"/>
  <c r="L60" i="13"/>
  <c r="M60" i="13"/>
  <c r="N60" i="13"/>
  <c r="O60" i="13"/>
  <c r="P60" i="13"/>
  <c r="Q60" i="13"/>
  <c r="R60" i="13"/>
  <c r="S60" i="13"/>
  <c r="T60" i="13"/>
  <c r="U60" i="13"/>
  <c r="V60" i="13"/>
  <c r="W60" i="13"/>
  <c r="X60" i="13"/>
  <c r="Y60" i="13"/>
  <c r="Z60" i="13"/>
  <c r="AA60" i="13"/>
  <c r="AB60" i="13"/>
  <c r="AC60" i="13"/>
  <c r="D60" i="13"/>
  <c r="E58" i="13"/>
  <c r="F58" i="13"/>
  <c r="G58" i="13"/>
  <c r="H58" i="13"/>
  <c r="I58" i="13"/>
  <c r="J58" i="13"/>
  <c r="K58" i="13"/>
  <c r="L58" i="13"/>
  <c r="M58" i="13"/>
  <c r="N58" i="13"/>
  <c r="O58" i="13"/>
  <c r="P58" i="13"/>
  <c r="Q58" i="13"/>
  <c r="R58" i="13"/>
  <c r="S58" i="13"/>
  <c r="T58" i="13"/>
  <c r="U58" i="13"/>
  <c r="V58" i="13"/>
  <c r="W58" i="13"/>
  <c r="X58" i="13"/>
  <c r="Y58" i="13"/>
  <c r="D58" i="13"/>
  <c r="E54" i="13"/>
  <c r="F54" i="13"/>
  <c r="G54" i="13"/>
  <c r="H54" i="13"/>
  <c r="I54" i="13"/>
  <c r="J54" i="13"/>
  <c r="K54" i="13"/>
  <c r="L54" i="13"/>
  <c r="M54" i="13"/>
  <c r="N54" i="13"/>
  <c r="O54" i="13"/>
  <c r="P54" i="13"/>
  <c r="Q54" i="13"/>
  <c r="R54" i="13"/>
  <c r="S54" i="13"/>
  <c r="T54" i="13"/>
  <c r="U54" i="13"/>
  <c r="V54" i="13"/>
  <c r="W54" i="13"/>
  <c r="X54" i="13"/>
  <c r="Y54" i="13"/>
  <c r="Z54" i="13"/>
  <c r="AA54" i="13"/>
  <c r="AB54" i="13"/>
  <c r="AC54" i="13"/>
  <c r="D54" i="13"/>
  <c r="B4" i="23"/>
  <c r="B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B41" i="23"/>
  <c r="B42" i="23"/>
  <c r="B43" i="23"/>
  <c r="B44" i="23"/>
  <c r="B45" i="23"/>
  <c r="B46" i="23"/>
  <c r="B47" i="23"/>
  <c r="B48" i="23"/>
  <c r="B49" i="23"/>
  <c r="B50" i="23"/>
  <c r="B51" i="23"/>
  <c r="B52" i="23"/>
  <c r="B53" i="23"/>
  <c r="B3" i="23"/>
  <c r="B4" i="13"/>
  <c r="B5" i="13"/>
  <c r="B18" i="13"/>
  <c r="B19" i="13"/>
  <c r="B20" i="13"/>
  <c r="B28" i="13"/>
  <c r="B29" i="13"/>
  <c r="B30" i="13"/>
  <c r="B42" i="13"/>
  <c r="B43" i="13"/>
  <c r="B52" i="13"/>
  <c r="B53" i="13"/>
  <c r="B2" i="13"/>
  <c r="AC2" i="21"/>
  <c r="AC3" i="21"/>
  <c r="AC4" i="21"/>
  <c r="AC5" i="21"/>
  <c r="AC6" i="21"/>
  <c r="AC7" i="21"/>
  <c r="AC8" i="21"/>
  <c r="AC9" i="21"/>
  <c r="AC10" i="21"/>
  <c r="AC11" i="21"/>
  <c r="AC12" i="21"/>
  <c r="AC13" i="21"/>
  <c r="AC14" i="21"/>
  <c r="AC15" i="21"/>
  <c r="AC16" i="21"/>
  <c r="AC17" i="21"/>
  <c r="AC18" i="21"/>
  <c r="AC19" i="21"/>
  <c r="AC20" i="21"/>
  <c r="AC21" i="21"/>
  <c r="AC22" i="21"/>
  <c r="AC23" i="21"/>
  <c r="AC24" i="21"/>
  <c r="AC25" i="21"/>
  <c r="AC26" i="21"/>
  <c r="AC27" i="21"/>
  <c r="AC28" i="21"/>
  <c r="AC29" i="21"/>
  <c r="AC30" i="21"/>
  <c r="AC31" i="21"/>
  <c r="AC32" i="21"/>
  <c r="AC33" i="21"/>
  <c r="AC34" i="21"/>
  <c r="AC35" i="21"/>
  <c r="AC36" i="21"/>
  <c r="AC37" i="21"/>
  <c r="AC38" i="21"/>
  <c r="AC39" i="21"/>
  <c r="AC40" i="21"/>
  <c r="AC41" i="21"/>
  <c r="AC42" i="21"/>
  <c r="AC43" i="21"/>
  <c r="AC44" i="21"/>
  <c r="AC45" i="21"/>
  <c r="AC46" i="21"/>
  <c r="AC47" i="21"/>
  <c r="AC48" i="21"/>
  <c r="AC49" i="21"/>
  <c r="AC50" i="21"/>
  <c r="AC51" i="21"/>
  <c r="AC52" i="21"/>
  <c r="AC53" i="21"/>
  <c r="AB54" i="12"/>
  <c r="AA54" i="12"/>
  <c r="Z54" i="12"/>
  <c r="Y54" i="12"/>
  <c r="X54" i="12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AC53" i="12"/>
  <c r="AC52" i="12"/>
  <c r="AC51" i="12"/>
  <c r="AC50" i="12"/>
  <c r="AC49" i="12"/>
  <c r="AC48" i="12"/>
  <c r="AC47" i="12"/>
  <c r="AC46" i="12"/>
  <c r="AC45" i="12"/>
  <c r="AC44" i="12"/>
  <c r="AC43" i="12"/>
  <c r="AC42" i="12"/>
  <c r="AC41" i="12"/>
  <c r="AC40" i="12"/>
  <c r="AC39" i="12"/>
  <c r="AC38" i="12"/>
  <c r="AC37" i="12"/>
  <c r="AC36" i="12"/>
  <c r="AC35" i="12"/>
  <c r="AC34" i="12"/>
  <c r="AC33" i="12"/>
  <c r="AC32" i="12"/>
  <c r="AC31" i="12"/>
  <c r="AC30" i="12"/>
  <c r="AC29" i="12"/>
  <c r="AC28" i="12"/>
  <c r="AC27" i="12"/>
  <c r="AC26" i="12"/>
  <c r="AC25" i="12"/>
  <c r="AC24" i="12"/>
  <c r="AC23" i="12"/>
  <c r="AC22" i="12"/>
  <c r="AC21" i="12"/>
  <c r="AC20" i="12"/>
  <c r="AC19" i="12"/>
  <c r="AC18" i="12"/>
  <c r="AC17" i="12"/>
  <c r="AC16" i="12"/>
  <c r="AC15" i="12"/>
  <c r="AC14" i="12"/>
  <c r="AC13" i="12"/>
  <c r="AC12" i="12"/>
  <c r="AC11" i="12"/>
  <c r="AC10" i="12"/>
  <c r="AC9" i="12"/>
  <c r="AC8" i="12"/>
  <c r="AC7" i="12"/>
  <c r="AC6" i="12"/>
  <c r="AC5" i="12"/>
  <c r="AC4" i="12"/>
  <c r="AC3" i="12"/>
  <c r="AC2" i="12"/>
  <c r="AC54" i="12" s="1"/>
  <c r="G54" i="21"/>
  <c r="H54" i="21"/>
  <c r="I54" i="21"/>
  <c r="J54" i="21"/>
  <c r="K54" i="21"/>
  <c r="S54" i="21"/>
  <c r="T54" i="21"/>
  <c r="U54" i="21"/>
  <c r="Y54" i="21"/>
  <c r="C3" i="13"/>
  <c r="C4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2" i="13"/>
  <c r="B3" i="13"/>
  <c r="B6" i="13"/>
  <c r="B7" i="13"/>
  <c r="B8" i="13"/>
  <c r="B9" i="13"/>
  <c r="B10" i="13"/>
  <c r="B12" i="13"/>
  <c r="B13" i="13"/>
  <c r="B14" i="13"/>
  <c r="B15" i="13"/>
  <c r="B16" i="13"/>
  <c r="B17" i="13"/>
  <c r="B27" i="13"/>
  <c r="B31" i="13"/>
  <c r="B35" i="13"/>
  <c r="B36" i="13"/>
  <c r="B37" i="13"/>
  <c r="B38" i="13"/>
  <c r="B39" i="13"/>
  <c r="B40" i="13"/>
  <c r="B51" i="13"/>
  <c r="A2" i="13"/>
  <c r="B2" i="22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2" i="2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2" i="12"/>
  <c r="B3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2" i="19"/>
  <c r="A2" i="12"/>
  <c r="AB54" i="21"/>
  <c r="AA54" i="21"/>
  <c r="R54" i="21"/>
  <c r="Q54" i="21"/>
  <c r="P54" i="21"/>
  <c r="O54" i="21"/>
  <c r="N54" i="21"/>
  <c r="M54" i="21"/>
  <c r="L54" i="21"/>
  <c r="F54" i="21"/>
  <c r="E54" i="21"/>
  <c r="D54" i="21"/>
  <c r="C54" i="21"/>
  <c r="K10" i="6"/>
  <c r="K9" i="6"/>
  <c r="K8" i="6"/>
  <c r="H28" i="6"/>
  <c r="A28" i="6"/>
  <c r="AD40" i="13"/>
  <c r="AD41" i="13"/>
  <c r="AD42" i="13"/>
  <c r="AD43" i="13"/>
  <c r="AD44" i="13"/>
  <c r="AD45" i="13"/>
  <c r="AD46" i="13"/>
  <c r="AD47" i="13"/>
  <c r="AD48" i="13"/>
  <c r="AD49" i="13"/>
  <c r="AD50" i="13"/>
  <c r="AD51" i="13"/>
  <c r="AD52" i="13"/>
  <c r="AD53" i="13"/>
  <c r="B23" i="10"/>
  <c r="B24" i="10"/>
  <c r="B25" i="10"/>
  <c r="B26" i="10"/>
  <c r="B27" i="10"/>
  <c r="C23" i="10"/>
  <c r="C24" i="10"/>
  <c r="C25" i="10"/>
  <c r="C26" i="10"/>
  <c r="C27" i="10"/>
  <c r="D23" i="10"/>
  <c r="D24" i="10"/>
  <c r="D25" i="10"/>
  <c r="D26" i="10"/>
  <c r="D27" i="10"/>
  <c r="F23" i="10"/>
  <c r="F24" i="10"/>
  <c r="F25" i="10"/>
  <c r="F26" i="10"/>
  <c r="F27" i="10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C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F2" i="10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A3" i="11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22" i="11"/>
  <c r="A23" i="11"/>
  <c r="A24" i="11"/>
  <c r="A25" i="11"/>
  <c r="A26" i="11"/>
  <c r="A2" i="11"/>
  <c r="L28" i="11"/>
  <c r="M28" i="11"/>
  <c r="B28" i="11"/>
  <c r="C28" i="11"/>
  <c r="D28" i="11"/>
  <c r="E28" i="11"/>
  <c r="F28" i="11"/>
  <c r="G28" i="11"/>
  <c r="H28" i="11"/>
  <c r="I28" i="11"/>
  <c r="J28" i="11"/>
  <c r="K28" i="11"/>
  <c r="I2" i="19" a="1"/>
  <c r="I2" i="19" s="1"/>
  <c r="I3" i="19" a="1"/>
  <c r="I3" i="19" s="1"/>
  <c r="I4" i="19" a="1"/>
  <c r="I5" i="19" a="1"/>
  <c r="I6" i="19" a="1"/>
  <c r="I7" i="19" a="1"/>
  <c r="I7" i="19" s="1"/>
  <c r="I8" i="19" a="1"/>
  <c r="I9" i="19" a="1"/>
  <c r="I10" i="19" a="1"/>
  <c r="I10" i="19" s="1"/>
  <c r="I11" i="19" a="1"/>
  <c r="I11" i="19" s="1"/>
  <c r="I12" i="19" a="1"/>
  <c r="I13" i="19" a="1"/>
  <c r="I13" i="19" s="1"/>
  <c r="I14" i="19" a="1"/>
  <c r="I14" i="19" s="1"/>
  <c r="I15" i="19" a="1"/>
  <c r="I15" i="19" s="1"/>
  <c r="I16" i="19" a="1"/>
  <c r="I16" i="19" s="1"/>
  <c r="I17" i="19" a="1"/>
  <c r="I17" i="19" s="1"/>
  <c r="I18" i="19" a="1"/>
  <c r="I18" i="19" s="1"/>
  <c r="I19" i="19" a="1"/>
  <c r="I19" i="19" s="1"/>
  <c r="I20" i="19" a="1"/>
  <c r="I21" i="19" a="1"/>
  <c r="I21" i="19" s="1"/>
  <c r="I22" i="19" a="1"/>
  <c r="I22" i="19" s="1"/>
  <c r="I23" i="19" a="1"/>
  <c r="I24" i="19" a="1"/>
  <c r="I24" i="19" s="1"/>
  <c r="I25" i="19" a="1"/>
  <c r="I25" i="19" s="1"/>
  <c r="I26" i="19" a="1"/>
  <c r="I26" i="19" s="1"/>
  <c r="I27" i="19" a="1"/>
  <c r="I27" i="19" s="1"/>
  <c r="I28" i="19" a="1"/>
  <c r="I28" i="19" s="1"/>
  <c r="I29" i="19" a="1"/>
  <c r="I29" i="19" s="1"/>
  <c r="I30" i="19" a="1"/>
  <c r="I30" i="19" s="1"/>
  <c r="I31" i="19" a="1"/>
  <c r="I31" i="19" s="1"/>
  <c r="I32" i="19" a="1"/>
  <c r="I32" i="19" s="1"/>
  <c r="I33" i="19" a="1"/>
  <c r="I33" i="19" s="1"/>
  <c r="I34" i="19" a="1"/>
  <c r="I35" i="19" a="1"/>
  <c r="I36" i="19" a="1"/>
  <c r="I37" i="19" a="1"/>
  <c r="I37" i="19" s="1"/>
  <c r="I38" i="19" a="1"/>
  <c r="I38" i="19" s="1"/>
  <c r="I39" i="19" a="1"/>
  <c r="I39" i="19" s="1"/>
  <c r="I40" i="19" a="1"/>
  <c r="I40" i="19" s="1"/>
  <c r="I41" i="19" a="1"/>
  <c r="I41" i="19" s="1"/>
  <c r="I42" i="19" a="1"/>
  <c r="I42" i="19" s="1"/>
  <c r="I43" i="19" a="1"/>
  <c r="I43" i="19" s="1"/>
  <c r="I44" i="19" a="1"/>
  <c r="I45" i="19" a="1"/>
  <c r="I46" i="19" a="1"/>
  <c r="I47" i="19" a="1"/>
  <c r="I48" i="19" a="1"/>
  <c r="I48" i="19" s="1"/>
  <c r="I49" i="19" a="1"/>
  <c r="I49" i="19" s="1"/>
  <c r="I50" i="19" a="1"/>
  <c r="I51" i="19" a="1"/>
  <c r="I51" i="19" s="1"/>
  <c r="I52" i="19" a="1"/>
  <c r="I52" i="19" s="1"/>
  <c r="I53" i="19" a="1"/>
  <c r="I53" i="19" s="1"/>
  <c r="K6" i="10"/>
  <c r="R6" i="10" s="1"/>
  <c r="K7" i="10"/>
  <c r="K8" i="10"/>
  <c r="K3" i="10"/>
  <c r="Q3" i="10" s="1"/>
  <c r="K4" i="10"/>
  <c r="N4" i="10" s="1"/>
  <c r="K5" i="10"/>
  <c r="O5" i="10" s="1"/>
  <c r="B15" i="10"/>
  <c r="B2" i="10"/>
  <c r="B5" i="10"/>
  <c r="B20" i="10"/>
  <c r="B19" i="10"/>
  <c r="B21" i="10"/>
  <c r="B7" i="10"/>
  <c r="B13" i="10"/>
  <c r="B8" i="10"/>
  <c r="B17" i="10"/>
  <c r="B10" i="10"/>
  <c r="B12" i="10"/>
  <c r="B6" i="10"/>
  <c r="B16" i="10"/>
  <c r="B18" i="10"/>
  <c r="B11" i="10"/>
  <c r="B22" i="10"/>
  <c r="B14" i="10"/>
  <c r="B4" i="10"/>
  <c r="B3" i="10"/>
  <c r="B9" i="10"/>
  <c r="F129" i="18" a="1"/>
  <c r="F128" i="18" a="1"/>
  <c r="F127" i="18" a="1"/>
  <c r="F126" i="18" a="1"/>
  <c r="F125" i="18" a="1"/>
  <c r="F124" i="18" a="1"/>
  <c r="F123" i="18" a="1"/>
  <c r="F122" i="18" a="1"/>
  <c r="F121" i="18" a="1"/>
  <c r="F118" i="18" a="1"/>
  <c r="F118" i="18" s="1"/>
  <c r="F117" i="18" a="1"/>
  <c r="F116" i="18" a="1"/>
  <c r="F115" i="18" a="1"/>
  <c r="F115" i="18" s="1"/>
  <c r="F114" i="18" a="1"/>
  <c r="F113" i="18" a="1"/>
  <c r="F112" i="18" a="1"/>
  <c r="F111" i="18" a="1"/>
  <c r="F108" i="18" a="1"/>
  <c r="F107" i="18" a="1"/>
  <c r="F106" i="18" a="1"/>
  <c r="F105" i="18" a="1"/>
  <c r="F105" i="18" s="1"/>
  <c r="F104" i="18" a="1"/>
  <c r="F104" i="18" s="1"/>
  <c r="F103" i="18" a="1"/>
  <c r="F102" i="18" a="1"/>
  <c r="F101" i="18" a="1"/>
  <c r="F100" i="18" a="1"/>
  <c r="F97" i="18" a="1"/>
  <c r="F96" i="18" a="1"/>
  <c r="F95" i="18" a="1"/>
  <c r="F94" i="18" a="1"/>
  <c r="F93" i="18" a="1"/>
  <c r="F92" i="18" a="1"/>
  <c r="F91" i="18" a="1"/>
  <c r="F90" i="18" a="1"/>
  <c r="F90" i="18" s="1"/>
  <c r="F98" i="18" s="1"/>
  <c r="G98" i="18" s="1"/>
  <c r="F86" i="18" a="1"/>
  <c r="F85" i="18" a="1"/>
  <c r="F84" i="18" a="1"/>
  <c r="F84" i="18" s="1"/>
  <c r="F83" i="18" a="1"/>
  <c r="F82" i="18" a="1"/>
  <c r="F81" i="18" a="1"/>
  <c r="F80" i="18" a="1"/>
  <c r="F79" i="18" a="1"/>
  <c r="F69" i="18" a="1"/>
  <c r="F70" i="18" a="1"/>
  <c r="F70" i="18" s="1"/>
  <c r="F71" i="18" a="1"/>
  <c r="F71" i="18" s="1"/>
  <c r="F72" i="18" a="1"/>
  <c r="F72" i="18" s="1"/>
  <c r="F73" i="18" a="1"/>
  <c r="F74" i="18" a="1"/>
  <c r="F75" i="18" a="1"/>
  <c r="F76" i="18" a="1"/>
  <c r="F68" i="18" a="1"/>
  <c r="F68" i="18" s="1"/>
  <c r="F77" i="18" s="1"/>
  <c r="G77" i="18" s="1"/>
  <c r="F59" i="18" a="1"/>
  <c r="F60" i="18" a="1"/>
  <c r="F61" i="18" a="1"/>
  <c r="F62" i="18" a="1"/>
  <c r="F63" i="18" a="1"/>
  <c r="F64" i="18" a="1"/>
  <c r="F65" i="18" a="1"/>
  <c r="F58" i="18" a="1"/>
  <c r="F48" i="18" a="1"/>
  <c r="F49" i="18" a="1"/>
  <c r="F50" i="18" a="1"/>
  <c r="F51" i="18" a="1"/>
  <c r="F52" i="18" a="1"/>
  <c r="F53" i="18" a="1"/>
  <c r="F54" i="18" a="1"/>
  <c r="F54" i="18" s="1"/>
  <c r="F55" i="18" a="1"/>
  <c r="F55" i="18" s="1"/>
  <c r="F47" i="18" a="1"/>
  <c r="F38" i="18" a="1"/>
  <c r="F38" i="18" s="1"/>
  <c r="F39" i="18" a="1"/>
  <c r="F39" i="18" s="1"/>
  <c r="F40" i="18" a="1"/>
  <c r="F41" i="18" a="1"/>
  <c r="F42" i="18" a="1"/>
  <c r="F43" i="18" a="1"/>
  <c r="F44" i="18" a="1"/>
  <c r="F44" i="18" s="1"/>
  <c r="F37" i="18" a="1"/>
  <c r="F27" i="18" a="1"/>
  <c r="F28" i="18" a="1"/>
  <c r="F28" i="18" s="1"/>
  <c r="F29" i="18" a="1"/>
  <c r="F29" i="18" s="1"/>
  <c r="F30" i="18" a="1"/>
  <c r="F31" i="18" a="1"/>
  <c r="F32" i="18" a="1"/>
  <c r="F33" i="18" a="1"/>
  <c r="F34" i="18" a="1"/>
  <c r="F26" i="18" a="1"/>
  <c r="F26" i="18" s="1"/>
  <c r="F22" i="18" a="1"/>
  <c r="F21" i="18" a="1"/>
  <c r="F20" i="18" a="1"/>
  <c r="F19" i="18" a="1"/>
  <c r="F18" i="18" a="1"/>
  <c r="F17" i="18" a="1"/>
  <c r="F16" i="18" a="1"/>
  <c r="F15" i="18" a="1"/>
  <c r="F15" i="18" s="1"/>
  <c r="F24" i="18" s="1"/>
  <c r="G24" i="18" s="1"/>
  <c r="F12" i="18" a="1"/>
  <c r="F12" i="18" s="1"/>
  <c r="F11" i="18" a="1"/>
  <c r="F10" i="18" a="1"/>
  <c r="F9" i="18" a="1"/>
  <c r="F8" i="18" a="1"/>
  <c r="F7" i="18" a="1"/>
  <c r="F6" i="18" a="1"/>
  <c r="F5" i="18" a="1"/>
  <c r="F4" i="18" a="1"/>
  <c r="E128" i="18"/>
  <c r="E126" i="18"/>
  <c r="E124" i="18"/>
  <c r="E122" i="18"/>
  <c r="E130" i="18" s="1"/>
  <c r="E118" i="18"/>
  <c r="E116" i="18"/>
  <c r="E114" i="18"/>
  <c r="E112" i="18"/>
  <c r="E108" i="18"/>
  <c r="E106" i="18"/>
  <c r="E104" i="18"/>
  <c r="E102" i="18"/>
  <c r="E100" i="18"/>
  <c r="E96" i="18"/>
  <c r="E94" i="18"/>
  <c r="E92" i="18"/>
  <c r="E90" i="18"/>
  <c r="E86" i="18"/>
  <c r="E84" i="18"/>
  <c r="E82" i="18"/>
  <c r="E80" i="18"/>
  <c r="E87" i="18" s="1"/>
  <c r="E76" i="18"/>
  <c r="E74" i="18"/>
  <c r="E72" i="18"/>
  <c r="E70" i="18"/>
  <c r="E68" i="18"/>
  <c r="E64" i="18"/>
  <c r="E62" i="18"/>
  <c r="E60" i="18"/>
  <c r="E58" i="18"/>
  <c r="E54" i="18"/>
  <c r="E52" i="18"/>
  <c r="E50" i="18"/>
  <c r="E48" i="18"/>
  <c r="E43" i="18"/>
  <c r="E41" i="18"/>
  <c r="E39" i="18"/>
  <c r="E37" i="18"/>
  <c r="E33" i="18"/>
  <c r="E31" i="18"/>
  <c r="E35" i="18" s="1"/>
  <c r="E29" i="18"/>
  <c r="E27" i="18"/>
  <c r="E22" i="18"/>
  <c r="E20" i="18"/>
  <c r="E18" i="18"/>
  <c r="E24" i="18" s="1"/>
  <c r="E16" i="18"/>
  <c r="E12" i="18"/>
  <c r="E10" i="18"/>
  <c r="E8" i="18"/>
  <c r="E6" i="18"/>
  <c r="E4" i="18"/>
  <c r="D129" i="18"/>
  <c r="D128" i="18"/>
  <c r="D127" i="18"/>
  <c r="D126" i="18"/>
  <c r="D125" i="18"/>
  <c r="D124" i="18"/>
  <c r="D123" i="18"/>
  <c r="D122" i="18"/>
  <c r="D121" i="18"/>
  <c r="D118" i="18"/>
  <c r="D117" i="18"/>
  <c r="D116" i="18"/>
  <c r="D115" i="18"/>
  <c r="D114" i="18"/>
  <c r="D113" i="18"/>
  <c r="D112" i="18"/>
  <c r="D111" i="18"/>
  <c r="D108" i="18"/>
  <c r="D107" i="18"/>
  <c r="D106" i="18"/>
  <c r="D105" i="18"/>
  <c r="D104" i="18"/>
  <c r="D103" i="18"/>
  <c r="D102" i="18"/>
  <c r="D101" i="18"/>
  <c r="D100" i="18"/>
  <c r="D97" i="18"/>
  <c r="D96" i="18"/>
  <c r="D95" i="18"/>
  <c r="D94" i="18"/>
  <c r="D93" i="18"/>
  <c r="D92" i="18"/>
  <c r="D91" i="18"/>
  <c r="D90" i="18"/>
  <c r="D89" i="18"/>
  <c r="D86" i="18"/>
  <c r="D85" i="18"/>
  <c r="D84" i="18"/>
  <c r="D83" i="18"/>
  <c r="D82" i="18"/>
  <c r="D81" i="18"/>
  <c r="D80" i="18"/>
  <c r="D79" i="18"/>
  <c r="D75" i="18"/>
  <c r="D74" i="18"/>
  <c r="D73" i="18"/>
  <c r="D72" i="18"/>
  <c r="D71" i="18"/>
  <c r="D70" i="18"/>
  <c r="D69" i="18"/>
  <c r="D68" i="18"/>
  <c r="D65" i="18"/>
  <c r="D64" i="18"/>
  <c r="D63" i="18"/>
  <c r="D62" i="18"/>
  <c r="D61" i="18"/>
  <c r="D60" i="18"/>
  <c r="D59" i="18"/>
  <c r="D58" i="18"/>
  <c r="D55" i="18"/>
  <c r="D54" i="18"/>
  <c r="D53" i="18"/>
  <c r="D52" i="18"/>
  <c r="D51" i="18"/>
  <c r="D50" i="18"/>
  <c r="D49" i="18"/>
  <c r="D48" i="18"/>
  <c r="D47" i="18"/>
  <c r="D44" i="18"/>
  <c r="D43" i="18"/>
  <c r="D42" i="18"/>
  <c r="D41" i="18"/>
  <c r="D40" i="18"/>
  <c r="D39" i="18"/>
  <c r="D38" i="18"/>
  <c r="D37" i="18"/>
  <c r="D34" i="18"/>
  <c r="D33" i="18"/>
  <c r="D32" i="18"/>
  <c r="D31" i="18"/>
  <c r="D30" i="18"/>
  <c r="D29" i="18"/>
  <c r="D28" i="18"/>
  <c r="D27" i="18"/>
  <c r="D26" i="18"/>
  <c r="D22" i="18"/>
  <c r="D21" i="18"/>
  <c r="D20" i="18"/>
  <c r="D19" i="18"/>
  <c r="D18" i="18"/>
  <c r="D17" i="18"/>
  <c r="D16" i="18"/>
  <c r="D15" i="18"/>
  <c r="D12" i="18"/>
  <c r="D11" i="18"/>
  <c r="D10" i="18"/>
  <c r="D9" i="18"/>
  <c r="D8" i="18"/>
  <c r="D7" i="18"/>
  <c r="D6" i="18"/>
  <c r="D5" i="18"/>
  <c r="D4" i="18"/>
  <c r="Q20" i="18"/>
  <c r="N2" i="18" s="1"/>
  <c r="AD2" i="13"/>
  <c r="AD3" i="13"/>
  <c r="AD4" i="13"/>
  <c r="AD5" i="13"/>
  <c r="AD6" i="13"/>
  <c r="AD7" i="13"/>
  <c r="AD8" i="13"/>
  <c r="AD9" i="13"/>
  <c r="AD10" i="13"/>
  <c r="AD11" i="13"/>
  <c r="AD12" i="13"/>
  <c r="AD13" i="13"/>
  <c r="AD14" i="13"/>
  <c r="AD15" i="13"/>
  <c r="AD16" i="13"/>
  <c r="AD17" i="13"/>
  <c r="AD18" i="13"/>
  <c r="AD19" i="13"/>
  <c r="AD20" i="13"/>
  <c r="AD21" i="13"/>
  <c r="AD22" i="13"/>
  <c r="AD23" i="13"/>
  <c r="AD24" i="13"/>
  <c r="AD25" i="13"/>
  <c r="AD26" i="13"/>
  <c r="AD27" i="13"/>
  <c r="AD28" i="13"/>
  <c r="AD29" i="13"/>
  <c r="AD30" i="13"/>
  <c r="AD31" i="13"/>
  <c r="AD32" i="13"/>
  <c r="AD33" i="13"/>
  <c r="AD34" i="13"/>
  <c r="AD35" i="13"/>
  <c r="AD36" i="13"/>
  <c r="AD37" i="13"/>
  <c r="AD38" i="13"/>
  <c r="AD39" i="13"/>
  <c r="K6" i="6"/>
  <c r="K5" i="6"/>
  <c r="K4" i="6"/>
  <c r="K3" i="6"/>
  <c r="K2" i="6"/>
  <c r="Q4" i="10"/>
  <c r="M4" i="10"/>
  <c r="P4" i="10"/>
  <c r="R4" i="10"/>
  <c r="O4" i="10"/>
  <c r="P5" i="10"/>
  <c r="M6" i="10"/>
  <c r="P6" i="10"/>
  <c r="E66" i="18"/>
  <c r="E98" i="18"/>
  <c r="E56" i="18"/>
  <c r="E119" i="18"/>
  <c r="E109" i="18"/>
  <c r="E77" i="18"/>
  <c r="E45" i="18"/>
  <c r="E13" i="18"/>
  <c r="F129" i="18"/>
  <c r="F128" i="18"/>
  <c r="F127" i="18"/>
  <c r="F126" i="18"/>
  <c r="F125" i="18"/>
  <c r="F124" i="18"/>
  <c r="F123" i="18"/>
  <c r="F122" i="18"/>
  <c r="F121" i="18"/>
  <c r="F130" i="18" s="1"/>
  <c r="G130" i="18" s="1"/>
  <c r="F117" i="18"/>
  <c r="F116" i="18"/>
  <c r="F114" i="18"/>
  <c r="F113" i="18"/>
  <c r="F112" i="18"/>
  <c r="F111" i="18"/>
  <c r="F119" i="18" s="1"/>
  <c r="G119" i="18" s="1"/>
  <c r="F108" i="18"/>
  <c r="F107" i="18"/>
  <c r="F106" i="18"/>
  <c r="F103" i="18"/>
  <c r="F102" i="18"/>
  <c r="F101" i="18"/>
  <c r="F100" i="18"/>
  <c r="F109" i="18" s="1"/>
  <c r="G109" i="18" s="1"/>
  <c r="F97" i="18"/>
  <c r="F96" i="18"/>
  <c r="F95" i="18"/>
  <c r="F94" i="18"/>
  <c r="F93" i="18"/>
  <c r="F92" i="18"/>
  <c r="F91" i="18"/>
  <c r="F86" i="18"/>
  <c r="F85" i="18"/>
  <c r="F83" i="18"/>
  <c r="F82" i="18"/>
  <c r="F81" i="18"/>
  <c r="F80" i="18"/>
  <c r="F79" i="18"/>
  <c r="F87" i="18" s="1"/>
  <c r="G87" i="18" s="1"/>
  <c r="F76" i="18"/>
  <c r="F75" i="18"/>
  <c r="F74" i="18"/>
  <c r="F73" i="18"/>
  <c r="F69" i="18"/>
  <c r="F65" i="18"/>
  <c r="F64" i="18"/>
  <c r="F63" i="18"/>
  <c r="F62" i="18"/>
  <c r="F61" i="18"/>
  <c r="F60" i="18"/>
  <c r="F59" i="18"/>
  <c r="F58" i="18"/>
  <c r="F66" i="18" s="1"/>
  <c r="G66" i="18" s="1"/>
  <c r="F53" i="18"/>
  <c r="F52" i="18"/>
  <c r="F51" i="18"/>
  <c r="F50" i="18"/>
  <c r="F49" i="18"/>
  <c r="F48" i="18"/>
  <c r="F47" i="18"/>
  <c r="F43" i="18"/>
  <c r="F42" i="18"/>
  <c r="F41" i="18"/>
  <c r="F40" i="18"/>
  <c r="F37" i="18"/>
  <c r="F34" i="18"/>
  <c r="F33" i="18"/>
  <c r="F32" i="18"/>
  <c r="F31" i="18"/>
  <c r="F30" i="18"/>
  <c r="F27" i="18"/>
  <c r="F22" i="18"/>
  <c r="F21" i="18"/>
  <c r="F20" i="18"/>
  <c r="F19" i="18"/>
  <c r="F18" i="18"/>
  <c r="F17" i="18"/>
  <c r="F16" i="18"/>
  <c r="F11" i="18"/>
  <c r="F10" i="18"/>
  <c r="F9" i="18"/>
  <c r="F8" i="18"/>
  <c r="F7" i="18"/>
  <c r="F6" i="18"/>
  <c r="F5" i="18"/>
  <c r="F4" i="18"/>
  <c r="I50" i="19"/>
  <c r="I47" i="19"/>
  <c r="I46" i="19"/>
  <c r="I45" i="19"/>
  <c r="I44" i="19"/>
  <c r="I36" i="19"/>
  <c r="I35" i="19"/>
  <c r="I34" i="19"/>
  <c r="I23" i="19"/>
  <c r="I20" i="19"/>
  <c r="I12" i="19"/>
  <c r="I9" i="19"/>
  <c r="I8" i="19"/>
  <c r="I6" i="19"/>
  <c r="I5" i="19"/>
  <c r="I4" i="19"/>
  <c r="H5" i="23" l="1" a="1"/>
  <c r="H5" i="23" s="1"/>
  <c r="D2" i="23" a="1"/>
  <c r="D2" i="23" s="1"/>
  <c r="E2" i="23" a="1"/>
  <c r="E2" i="23" s="1"/>
  <c r="G2" i="23" a="1"/>
  <c r="G2" i="23" s="1"/>
  <c r="O2" i="23" a="1"/>
  <c r="O2" i="23" s="1"/>
  <c r="P2" i="23" a="1"/>
  <c r="P2" i="23" s="1"/>
  <c r="R2" i="23" a="1"/>
  <c r="R2" i="23" s="1"/>
  <c r="X2" i="23" a="1"/>
  <c r="X2" i="23" s="1"/>
  <c r="Y2" i="23" a="1"/>
  <c r="Y2" i="23" s="1"/>
  <c r="AA2" i="23" a="1"/>
  <c r="AA2" i="23" s="1"/>
  <c r="AB2" i="23" a="1"/>
  <c r="AB2" i="23" s="1"/>
  <c r="D3" i="23" a="1"/>
  <c r="D3" i="23" s="1"/>
  <c r="L3" i="23" a="1"/>
  <c r="L3" i="23" s="1"/>
  <c r="AC53" i="23" a="1"/>
  <c r="AC53" i="23" s="1"/>
  <c r="M3" i="23" a="1"/>
  <c r="M3" i="23" s="1"/>
  <c r="O3" i="23" a="1"/>
  <c r="O3" i="23" s="1"/>
  <c r="P3" i="23" a="1"/>
  <c r="P3" i="23" s="1"/>
  <c r="W3" i="23" a="1"/>
  <c r="W3" i="23" s="1"/>
  <c r="Y3" i="23" a="1"/>
  <c r="Y3" i="23" s="1"/>
  <c r="J4" i="23" a="1"/>
  <c r="J4" i="23" s="1"/>
  <c r="M4" i="23" a="1"/>
  <c r="M4" i="23" s="1"/>
  <c r="N4" i="23" a="1"/>
  <c r="N4" i="23" s="1"/>
  <c r="U4" i="23" a="1"/>
  <c r="U4" i="23" s="1"/>
  <c r="AB3" i="23" a="1"/>
  <c r="AB3" i="23" s="1"/>
  <c r="Z4" i="23" a="1"/>
  <c r="Z4" i="23" s="1"/>
  <c r="X5" i="23" a="1"/>
  <c r="X5" i="23" s="1"/>
  <c r="V6" i="23" a="1"/>
  <c r="V6" i="23" s="1"/>
  <c r="T7" i="23" a="1"/>
  <c r="T7" i="23" s="1"/>
  <c r="R8" i="23" a="1"/>
  <c r="R8" i="23" s="1"/>
  <c r="P9" i="23" a="1"/>
  <c r="P9" i="23" s="1"/>
  <c r="N10" i="23" a="1"/>
  <c r="N10" i="23" s="1"/>
  <c r="L11" i="23" a="1"/>
  <c r="L11" i="23" s="1"/>
  <c r="J12" i="23" a="1"/>
  <c r="J12" i="23" s="1"/>
  <c r="F13" i="23" a="1"/>
  <c r="F13" i="23" s="1"/>
  <c r="U14" i="23" a="1"/>
  <c r="U14" i="23" s="1"/>
  <c r="O15" i="23" a="1"/>
  <c r="O15" i="23" s="1"/>
  <c r="H16" i="23" a="1"/>
  <c r="H16" i="23" s="1"/>
  <c r="Q17" i="23" a="1"/>
  <c r="Q17" i="23" s="1"/>
  <c r="G18" i="23" a="1"/>
  <c r="G18" i="23" s="1"/>
  <c r="V18" i="23" a="1"/>
  <c r="V18" i="23" s="1"/>
  <c r="M19" i="23" a="1"/>
  <c r="M19" i="23" s="1"/>
  <c r="X20" i="23" a="1"/>
  <c r="X20" i="23" s="1"/>
  <c r="N21" i="23" a="1"/>
  <c r="N21" i="23" s="1"/>
  <c r="W22" i="23" a="1"/>
  <c r="W22" i="23" s="1"/>
  <c r="M23" i="23" a="1"/>
  <c r="M23" i="23" s="1"/>
  <c r="AB23" i="23" a="1"/>
  <c r="AB23" i="23" s="1"/>
  <c r="H25" i="23" a="1"/>
  <c r="H25" i="23" s="1"/>
  <c r="Z25" i="23" a="1"/>
  <c r="Z25" i="23" s="1"/>
  <c r="R26" i="23" a="1"/>
  <c r="R26" i="23" s="1"/>
  <c r="Z27" i="23" a="1"/>
  <c r="Z27" i="23" s="1"/>
  <c r="R28" i="23" a="1"/>
  <c r="R28" i="23" s="1"/>
  <c r="I29" i="23" a="1"/>
  <c r="I29" i="23" s="1"/>
  <c r="AA29" i="23" a="1"/>
  <c r="AA29" i="23" s="1"/>
  <c r="S30" i="23" a="1"/>
  <c r="S30" i="23" s="1"/>
  <c r="L31" i="23" a="1"/>
  <c r="L31" i="23" s="1"/>
  <c r="AA31" i="23" a="1"/>
  <c r="AA31" i="23" s="1"/>
  <c r="S32" i="23" a="1"/>
  <c r="S32" i="23" s="1"/>
  <c r="L33" i="23" a="1"/>
  <c r="L33" i="23" s="1"/>
  <c r="AC33" i="23" a="1"/>
  <c r="AC33" i="23" s="1"/>
  <c r="U34" i="23" a="1"/>
  <c r="U34" i="23" s="1"/>
  <c r="E36" i="23" a="1"/>
  <c r="E36" i="23" s="1"/>
  <c r="W36" i="23" a="1"/>
  <c r="W36" i="23" s="1"/>
  <c r="N37" i="23" a="1"/>
  <c r="N37" i="23" s="1"/>
  <c r="F38" i="23" a="1"/>
  <c r="F38" i="23" s="1"/>
  <c r="Q39" i="23" a="1"/>
  <c r="Q39" i="23" s="1"/>
  <c r="M40" i="23" a="1"/>
  <c r="M40" i="23" s="1"/>
  <c r="I41" i="23" a="1"/>
  <c r="I41" i="23" s="1"/>
  <c r="F42" i="23" a="1"/>
  <c r="F42" i="23" s="1"/>
  <c r="AA42" i="23" a="1"/>
  <c r="AA42" i="23" s="1"/>
  <c r="R44" i="23" a="1"/>
  <c r="R44" i="23" s="1"/>
  <c r="M45" i="23" a="1"/>
  <c r="M45" i="23" s="1"/>
  <c r="F47" i="23" a="1"/>
  <c r="F47" i="23" s="1"/>
  <c r="AB47" i="23" a="1"/>
  <c r="AB47" i="23" s="1"/>
  <c r="Y48" i="23" a="1"/>
  <c r="Y48" i="23" s="1"/>
  <c r="T49" i="23" a="1"/>
  <c r="T49" i="23" s="1"/>
  <c r="Q50" i="23" a="1"/>
  <c r="Q50" i="23" s="1"/>
  <c r="M51" i="23" a="1"/>
  <c r="M51" i="23" s="1"/>
  <c r="G53" i="23" a="1"/>
  <c r="G53" i="23" s="1"/>
  <c r="H2" i="23" a="1"/>
  <c r="H2" i="23" s="1"/>
  <c r="E3" i="23" a="1"/>
  <c r="E3" i="23" s="1"/>
  <c r="AC3" i="23" a="1"/>
  <c r="AC3" i="23" s="1"/>
  <c r="AA4" i="23" a="1"/>
  <c r="AA4" i="23" s="1"/>
  <c r="Y5" i="23" a="1"/>
  <c r="Y5" i="23" s="1"/>
  <c r="W6" i="23" a="1"/>
  <c r="W6" i="23" s="1"/>
  <c r="U7" i="23" a="1"/>
  <c r="U7" i="23" s="1"/>
  <c r="S8" i="23" a="1"/>
  <c r="S8" i="23" s="1"/>
  <c r="Q9" i="23" a="1"/>
  <c r="Q9" i="23" s="1"/>
  <c r="O10" i="23" a="1"/>
  <c r="O10" i="23" s="1"/>
  <c r="M11" i="23" a="1"/>
  <c r="M11" i="23" s="1"/>
  <c r="K12" i="23" a="1"/>
  <c r="K12" i="23" s="1"/>
  <c r="G13" i="23" a="1"/>
  <c r="G13" i="23" s="1"/>
  <c r="AB13" i="23" a="1"/>
  <c r="AB13" i="23" s="1"/>
  <c r="V14" i="23" a="1"/>
  <c r="V14" i="23" s="1"/>
  <c r="P15" i="23" a="1"/>
  <c r="P15" i="23" s="1"/>
  <c r="I16" i="23" a="1"/>
  <c r="I16" i="23" s="1"/>
  <c r="Z16" i="23" a="1"/>
  <c r="Z16" i="23" s="1"/>
  <c r="R17" i="23" a="1"/>
  <c r="R17" i="23" s="1"/>
  <c r="N19" i="23" a="1"/>
  <c r="N19" i="23" s="1"/>
  <c r="E20" i="23" a="1"/>
  <c r="E20" i="23" s="1"/>
  <c r="O21" i="23" a="1"/>
  <c r="O21" i="23" s="1"/>
  <c r="G22" i="23" a="1"/>
  <c r="G22" i="23" s="1"/>
  <c r="N23" i="23" a="1"/>
  <c r="N23" i="23" s="1"/>
  <c r="R24" i="23" a="1"/>
  <c r="R24" i="23" s="1"/>
  <c r="AA25" i="23" a="1"/>
  <c r="AA25" i="23" s="1"/>
  <c r="K27" i="23" a="1"/>
  <c r="K27" i="23" s="1"/>
  <c r="AA27" i="23" a="1"/>
  <c r="AA27" i="23" s="1"/>
  <c r="T30" i="23" a="1"/>
  <c r="T30" i="23" s="1"/>
  <c r="M31" i="23" a="1"/>
  <c r="M31" i="23" s="1"/>
  <c r="AB31" i="23" a="1"/>
  <c r="AB31" i="23" s="1"/>
  <c r="T32" i="23" a="1"/>
  <c r="T32" i="23" s="1"/>
  <c r="D34" i="23" a="1"/>
  <c r="D34" i="23" s="1"/>
  <c r="V34" i="23" a="1"/>
  <c r="V34" i="23" s="1"/>
  <c r="M35" i="23" a="1"/>
  <c r="M35" i="23" s="1"/>
  <c r="X36" i="23" a="1"/>
  <c r="X36" i="23" s="1"/>
  <c r="O37" i="23" a="1"/>
  <c r="O37" i="23" s="1"/>
  <c r="G38" i="23" a="1"/>
  <c r="G38" i="23" s="1"/>
  <c r="Y38" i="23" a="1"/>
  <c r="Y38" i="23" s="1"/>
  <c r="R39" i="23" a="1"/>
  <c r="R39" i="23" s="1"/>
  <c r="N40" i="23" a="1"/>
  <c r="N40" i="23" s="1"/>
  <c r="J41" i="23" a="1"/>
  <c r="J41" i="23" s="1"/>
  <c r="AB42" i="23" a="1"/>
  <c r="AB42" i="23" s="1"/>
  <c r="W43" i="23" a="1"/>
  <c r="W43" i="23" s="1"/>
  <c r="S44" i="23" a="1"/>
  <c r="S44" i="23" s="1"/>
  <c r="N45" i="23" a="1"/>
  <c r="N45" i="23" s="1"/>
  <c r="K46" i="23" a="1"/>
  <c r="K46" i="23" s="1"/>
  <c r="G47" i="23" a="1"/>
  <c r="G47" i="23" s="1"/>
  <c r="AC47" i="23" a="1"/>
  <c r="AC47" i="23" s="1"/>
  <c r="Z48" i="23" a="1"/>
  <c r="Z48" i="23" s="1"/>
  <c r="U49" i="23" a="1"/>
  <c r="U49" i="23" s="1"/>
  <c r="R50" i="23" a="1"/>
  <c r="R50" i="23" s="1"/>
  <c r="N51" i="23" a="1"/>
  <c r="N51" i="23" s="1"/>
  <c r="J52" i="23" a="1"/>
  <c r="J52" i="23" s="1"/>
  <c r="H53" i="23" a="1"/>
  <c r="H53" i="23" s="1"/>
  <c r="D4" i="23" a="1"/>
  <c r="D4" i="23" s="1"/>
  <c r="Z5" i="23" a="1"/>
  <c r="Z5" i="23" s="1"/>
  <c r="X6" i="23" a="1"/>
  <c r="X6" i="23" s="1"/>
  <c r="V7" i="23" a="1"/>
  <c r="V7" i="23" s="1"/>
  <c r="T8" i="23" a="1"/>
  <c r="T8" i="23" s="1"/>
  <c r="R9" i="23" a="1"/>
  <c r="R9" i="23" s="1"/>
  <c r="P10" i="23" a="1"/>
  <c r="P10" i="23" s="1"/>
  <c r="N11" i="23" a="1"/>
  <c r="N11" i="23" s="1"/>
  <c r="H13" i="23" a="1"/>
  <c r="H13" i="23" s="1"/>
  <c r="AC13" i="23" a="1"/>
  <c r="AC13" i="23" s="1"/>
  <c r="W14" i="23" a="1"/>
  <c r="W14" i="23" s="1"/>
  <c r="AA16" i="23" a="1"/>
  <c r="AA16" i="23" s="1"/>
  <c r="S17" i="23" a="1"/>
  <c r="S17" i="23" s="1"/>
  <c r="H18" i="23" a="1"/>
  <c r="H18" i="23" s="1"/>
  <c r="W18" i="23" a="1"/>
  <c r="W18" i="23" s="1"/>
  <c r="O19" i="23" a="1"/>
  <c r="O19" i="23" s="1"/>
  <c r="F20" i="23" a="1"/>
  <c r="F20" i="23" s="1"/>
  <c r="Y20" i="23" a="1"/>
  <c r="Y20" i="23" s="1"/>
  <c r="P21" i="23" a="1"/>
  <c r="P21" i="23" s="1"/>
  <c r="H22" i="23" a="1"/>
  <c r="H22" i="23" s="1"/>
  <c r="X22" i="23" a="1"/>
  <c r="X22" i="23" s="1"/>
  <c r="AC23" i="23" a="1"/>
  <c r="AC23" i="23" s="1"/>
  <c r="I25" i="23" a="1"/>
  <c r="I25" i="23" s="1"/>
  <c r="S26" i="23" a="1"/>
  <c r="S26" i="23" s="1"/>
  <c r="AB27" i="23" a="1"/>
  <c r="AB27" i="23" s="1"/>
  <c r="S28" i="23" a="1"/>
  <c r="S28" i="23" s="1"/>
  <c r="J29" i="23" a="1"/>
  <c r="J29" i="23" s="1"/>
  <c r="AB29" i="23" a="1"/>
  <c r="AB29" i="23" s="1"/>
  <c r="N31" i="23" a="1"/>
  <c r="N31" i="23" s="1"/>
  <c r="AC31" i="23" a="1"/>
  <c r="AC31" i="23" s="1"/>
  <c r="U32" i="23" a="1"/>
  <c r="U32" i="23" s="1"/>
  <c r="M33" i="23" a="1"/>
  <c r="M33" i="23" s="1"/>
  <c r="E34" i="23" a="1"/>
  <c r="E34" i="23" s="1"/>
  <c r="W34" i="23" a="1"/>
  <c r="W34" i="23" s="1"/>
  <c r="N35" i="23" a="1"/>
  <c r="N35" i="23" s="1"/>
  <c r="F36" i="23" a="1"/>
  <c r="F36" i="23" s="1"/>
  <c r="Y36" i="23" a="1"/>
  <c r="Y36" i="23" s="1"/>
  <c r="H38" i="23" a="1"/>
  <c r="H38" i="23" s="1"/>
  <c r="S39" i="23" a="1"/>
  <c r="S39" i="23" s="1"/>
  <c r="O40" i="23" a="1"/>
  <c r="O40" i="23" s="1"/>
  <c r="K41" i="23" a="1"/>
  <c r="K41" i="23" s="1"/>
  <c r="G42" i="23" a="1"/>
  <c r="G42" i="23" s="1"/>
  <c r="AC42" i="23" a="1"/>
  <c r="AC42" i="23" s="1"/>
  <c r="X43" i="23" a="1"/>
  <c r="X43" i="23" s="1"/>
  <c r="T44" i="23" a="1"/>
  <c r="T44" i="23" s="1"/>
  <c r="O45" i="23" a="1"/>
  <c r="O45" i="23" s="1"/>
  <c r="L46" i="23" a="1"/>
  <c r="L46" i="23" s="1"/>
  <c r="H47" i="23" a="1"/>
  <c r="H47" i="23" s="1"/>
  <c r="D48" i="23" a="1"/>
  <c r="D48" i="23" s="1"/>
  <c r="AA48" i="23" a="1"/>
  <c r="AA48" i="23" s="1"/>
  <c r="V49" i="23" a="1"/>
  <c r="V49" i="23" s="1"/>
  <c r="S50" i="23" a="1"/>
  <c r="S50" i="23" s="1"/>
  <c r="O51" i="23" a="1"/>
  <c r="O51" i="23" s="1"/>
  <c r="K52" i="23" a="1"/>
  <c r="K52" i="23" s="1"/>
  <c r="I53" i="23" a="1"/>
  <c r="I53" i="23" s="1"/>
  <c r="F3" i="23" a="1"/>
  <c r="F3" i="23" s="1"/>
  <c r="J2" i="23" a="1"/>
  <c r="J2" i="23" s="1"/>
  <c r="E4" i="23" a="1"/>
  <c r="E4" i="23" s="1"/>
  <c r="AC4" i="23" a="1"/>
  <c r="AC4" i="23" s="1"/>
  <c r="AA5" i="23" a="1"/>
  <c r="AA5" i="23" s="1"/>
  <c r="Y6" i="23" a="1"/>
  <c r="Y6" i="23" s="1"/>
  <c r="W7" i="23" a="1"/>
  <c r="W7" i="23" s="1"/>
  <c r="U8" i="23" a="1"/>
  <c r="U8" i="23" s="1"/>
  <c r="S9" i="23" a="1"/>
  <c r="S9" i="23" s="1"/>
  <c r="Q10" i="23" a="1"/>
  <c r="Q10" i="23" s="1"/>
  <c r="O11" i="23" a="1"/>
  <c r="O11" i="23" s="1"/>
  <c r="L12" i="23" a="1"/>
  <c r="L12" i="23" s="1"/>
  <c r="I13" i="23" a="1"/>
  <c r="I13" i="23" s="1"/>
  <c r="D14" i="23" a="1"/>
  <c r="D14" i="23" s="1"/>
  <c r="X14" i="23" a="1"/>
  <c r="X14" i="23" s="1"/>
  <c r="Q15" i="23" a="1"/>
  <c r="Q15" i="23" s="1"/>
  <c r="J16" i="23" a="1"/>
  <c r="J16" i="23" s="1"/>
  <c r="AB16" i="23" a="1"/>
  <c r="AB16" i="23" s="1"/>
  <c r="I18" i="23" a="1"/>
  <c r="I18" i="23" s="1"/>
  <c r="X18" i="23" a="1"/>
  <c r="X18" i="23" s="1"/>
  <c r="P19" i="23" a="1"/>
  <c r="P19" i="23" s="1"/>
  <c r="Z20" i="23" a="1"/>
  <c r="Z20" i="23" s="1"/>
  <c r="O23" i="23" a="1"/>
  <c r="O23" i="23" s="1"/>
  <c r="D24" i="23" a="1"/>
  <c r="D24" i="23" s="1"/>
  <c r="S24" i="23" a="1"/>
  <c r="S24" i="23" s="1"/>
  <c r="J25" i="23" a="1"/>
  <c r="J25" i="23" s="1"/>
  <c r="AB25" i="23" a="1"/>
  <c r="AB25" i="23" s="1"/>
  <c r="T26" i="23" a="1"/>
  <c r="T26" i="23" s="1"/>
  <c r="L27" i="23" a="1"/>
  <c r="L27" i="23" s="1"/>
  <c r="T28" i="23" a="1"/>
  <c r="T28" i="23" s="1"/>
  <c r="K29" i="23" a="1"/>
  <c r="K29" i="23" s="1"/>
  <c r="U30" i="23" a="1"/>
  <c r="U30" i="23" s="1"/>
  <c r="D32" i="23" a="1"/>
  <c r="D32" i="23" s="1"/>
  <c r="F34" i="23" a="1"/>
  <c r="F34" i="23" s="1"/>
  <c r="X34" i="23" a="1"/>
  <c r="X34" i="23" s="1"/>
  <c r="Z36" i="23" a="1"/>
  <c r="Z36" i="23" s="1"/>
  <c r="P37" i="23" a="1"/>
  <c r="P37" i="23" s="1"/>
  <c r="Z38" i="23" a="1"/>
  <c r="Z38" i="23" s="1"/>
  <c r="T39" i="23" a="1"/>
  <c r="T39" i="23" s="1"/>
  <c r="P40" i="23" a="1"/>
  <c r="P40" i="23" s="1"/>
  <c r="L41" i="23" a="1"/>
  <c r="L41" i="23" s="1"/>
  <c r="H42" i="23" a="1"/>
  <c r="H42" i="23" s="1"/>
  <c r="D43" i="23" a="1"/>
  <c r="D43" i="23" s="1"/>
  <c r="Y43" i="23" a="1"/>
  <c r="Y43" i="23" s="1"/>
  <c r="U44" i="23" a="1"/>
  <c r="U44" i="23" s="1"/>
  <c r="P45" i="23" a="1"/>
  <c r="P45" i="23" s="1"/>
  <c r="M46" i="23" a="1"/>
  <c r="M46" i="23" s="1"/>
  <c r="I47" i="23" a="1"/>
  <c r="I47" i="23" s="1"/>
  <c r="E48" i="23" a="1"/>
  <c r="E48" i="23" s="1"/>
  <c r="AB48" i="23" a="1"/>
  <c r="AB48" i="23" s="1"/>
  <c r="W49" i="23" a="1"/>
  <c r="W49" i="23" s="1"/>
  <c r="T50" i="23" a="1"/>
  <c r="T50" i="23" s="1"/>
  <c r="P51" i="23" a="1"/>
  <c r="P51" i="23" s="1"/>
  <c r="L52" i="23" a="1"/>
  <c r="L52" i="23" s="1"/>
  <c r="J53" i="23" a="1"/>
  <c r="J53" i="23" s="1"/>
  <c r="I2" i="23" a="1"/>
  <c r="I2" i="23" s="1"/>
  <c r="AB4" i="23" a="1"/>
  <c r="AB4" i="23" s="1"/>
  <c r="G3" i="23" a="1"/>
  <c r="G3" i="23" s="1"/>
  <c r="K2" i="23" a="1"/>
  <c r="K2" i="23" s="1"/>
  <c r="H3" i="23" a="1"/>
  <c r="H3" i="23" s="1"/>
  <c r="F4" i="23" a="1"/>
  <c r="F4" i="23" s="1"/>
  <c r="D5" i="23" a="1"/>
  <c r="D5" i="23" s="1"/>
  <c r="AB5" i="23" a="1"/>
  <c r="AB5" i="23" s="1"/>
  <c r="Z6" i="23" a="1"/>
  <c r="Z6" i="23" s="1"/>
  <c r="X7" i="23" a="1"/>
  <c r="X7" i="23" s="1"/>
  <c r="V8" i="23" a="1"/>
  <c r="V8" i="23" s="1"/>
  <c r="T9" i="23" a="1"/>
  <c r="T9" i="23" s="1"/>
  <c r="R10" i="23" a="1"/>
  <c r="R10" i="23" s="1"/>
  <c r="P11" i="23" a="1"/>
  <c r="P11" i="23" s="1"/>
  <c r="M12" i="23" a="1"/>
  <c r="M12" i="23" s="1"/>
  <c r="E14" i="23" a="1"/>
  <c r="E14" i="23" s="1"/>
  <c r="Y14" i="23" a="1"/>
  <c r="Y14" i="23" s="1"/>
  <c r="R15" i="23" a="1"/>
  <c r="R15" i="23" s="1"/>
  <c r="T17" i="23" a="1"/>
  <c r="T17" i="23" s="1"/>
  <c r="Y18" i="23" a="1"/>
  <c r="Y18" i="23" s="1"/>
  <c r="Q19" i="23" a="1"/>
  <c r="Q19" i="23" s="1"/>
  <c r="G20" i="23" a="1"/>
  <c r="G20" i="23" s="1"/>
  <c r="Q21" i="23" a="1"/>
  <c r="Q21" i="23" s="1"/>
  <c r="I22" i="23" a="1"/>
  <c r="I22" i="23" s="1"/>
  <c r="Y22" i="23" a="1"/>
  <c r="Y22" i="23" s="1"/>
  <c r="P23" i="23" a="1"/>
  <c r="P23" i="23" s="1"/>
  <c r="T24" i="23" a="1"/>
  <c r="T24" i="23" s="1"/>
  <c r="K25" i="23" a="1"/>
  <c r="K25" i="23" s="1"/>
  <c r="AC25" i="23" a="1"/>
  <c r="AC25" i="23" s="1"/>
  <c r="U26" i="23" a="1"/>
  <c r="U26" i="23" s="1"/>
  <c r="AC27" i="23" a="1"/>
  <c r="AC27" i="23" s="1"/>
  <c r="L29" i="23" a="1"/>
  <c r="L29" i="23" s="1"/>
  <c r="AC29" i="23" a="1"/>
  <c r="AC29" i="23" s="1"/>
  <c r="V30" i="23" a="1"/>
  <c r="V30" i="23" s="1"/>
  <c r="O31" i="23" a="1"/>
  <c r="O31" i="23" s="1"/>
  <c r="E32" i="23" a="1"/>
  <c r="E32" i="23" s="1"/>
  <c r="V32" i="23" a="1"/>
  <c r="V32" i="23" s="1"/>
  <c r="N33" i="23" a="1"/>
  <c r="N33" i="23" s="1"/>
  <c r="G34" i="23" a="1"/>
  <c r="G34" i="23" s="1"/>
  <c r="O35" i="23" a="1"/>
  <c r="O35" i="23" s="1"/>
  <c r="G36" i="23" a="1"/>
  <c r="G36" i="23" s="1"/>
  <c r="AA36" i="23" a="1"/>
  <c r="AA36" i="23" s="1"/>
  <c r="Q37" i="23" a="1"/>
  <c r="Q37" i="23" s="1"/>
  <c r="I38" i="23" a="1"/>
  <c r="I38" i="23" s="1"/>
  <c r="U39" i="23" a="1"/>
  <c r="U39" i="23" s="1"/>
  <c r="M41" i="23" a="1"/>
  <c r="M41" i="23" s="1"/>
  <c r="E43" i="23" a="1"/>
  <c r="E43" i="23" s="1"/>
  <c r="Z43" i="23" a="1"/>
  <c r="Z43" i="23" s="1"/>
  <c r="V44" i="23" a="1"/>
  <c r="V44" i="23" s="1"/>
  <c r="Q45" i="23" a="1"/>
  <c r="Q45" i="23" s="1"/>
  <c r="N46" i="23" a="1"/>
  <c r="N46" i="23" s="1"/>
  <c r="J47" i="23" a="1"/>
  <c r="J47" i="23" s="1"/>
  <c r="AC48" i="23" a="1"/>
  <c r="AC48" i="23" s="1"/>
  <c r="X49" i="23" a="1"/>
  <c r="X49" i="23" s="1"/>
  <c r="Q51" i="23" a="1"/>
  <c r="Q51" i="23" s="1"/>
  <c r="M52" i="23" a="1"/>
  <c r="M52" i="23" s="1"/>
  <c r="K53" i="23" a="1"/>
  <c r="K53" i="23" s="1"/>
  <c r="L2" i="23" a="1"/>
  <c r="L2" i="23" s="1"/>
  <c r="I3" i="23" a="1"/>
  <c r="I3" i="23" s="1"/>
  <c r="G4" i="23" a="1"/>
  <c r="G4" i="23" s="1"/>
  <c r="E5" i="23" a="1"/>
  <c r="E5" i="23" s="1"/>
  <c r="AC5" i="23" a="1"/>
  <c r="AC5" i="23" s="1"/>
  <c r="AA6" i="23" a="1"/>
  <c r="AA6" i="23" s="1"/>
  <c r="Y7" i="23" a="1"/>
  <c r="Y7" i="23" s="1"/>
  <c r="W8" i="23" a="1"/>
  <c r="W8" i="23" s="1"/>
  <c r="U9" i="23" a="1"/>
  <c r="U9" i="23" s="1"/>
  <c r="S10" i="23" a="1"/>
  <c r="S10" i="23" s="1"/>
  <c r="Q11" i="23" a="1"/>
  <c r="Q11" i="23" s="1"/>
  <c r="N12" i="23" a="1"/>
  <c r="N12" i="23" s="1"/>
  <c r="J13" i="23" a="1"/>
  <c r="J13" i="23" s="1"/>
  <c r="F14" i="23" a="1"/>
  <c r="F14" i="23" s="1"/>
  <c r="K16" i="23" a="1"/>
  <c r="K16" i="23" s="1"/>
  <c r="AC16" i="23" a="1"/>
  <c r="AC16" i="23" s="1"/>
  <c r="J18" i="23" a="1"/>
  <c r="J18" i="23" s="1"/>
  <c r="H20" i="23" a="1"/>
  <c r="H20" i="23" s="1"/>
  <c r="AA20" i="23" a="1"/>
  <c r="AA20" i="23" s="1"/>
  <c r="R21" i="23" a="1"/>
  <c r="R21" i="23" s="1"/>
  <c r="J22" i="23" a="1"/>
  <c r="J22" i="23" s="1"/>
  <c r="Z22" i="23" a="1"/>
  <c r="Z22" i="23" s="1"/>
  <c r="E24" i="23" a="1"/>
  <c r="E24" i="23" s="1"/>
  <c r="L25" i="23" a="1"/>
  <c r="L25" i="23" s="1"/>
  <c r="D26" i="23" a="1"/>
  <c r="D26" i="23" s="1"/>
  <c r="V26" i="23" a="1"/>
  <c r="V26" i="23" s="1"/>
  <c r="M27" i="23" a="1"/>
  <c r="M27" i="23" s="1"/>
  <c r="D28" i="23" a="1"/>
  <c r="D28" i="23" s="1"/>
  <c r="U28" i="23" a="1"/>
  <c r="U28" i="23" s="1"/>
  <c r="D30" i="23" a="1"/>
  <c r="D30" i="23" s="1"/>
  <c r="W30" i="23" a="1"/>
  <c r="W30" i="23" s="1"/>
  <c r="F32" i="23" a="1"/>
  <c r="F32" i="23" s="1"/>
  <c r="W32" i="23" a="1"/>
  <c r="W32" i="23" s="1"/>
  <c r="O33" i="23" a="1"/>
  <c r="O33" i="23" s="1"/>
  <c r="H34" i="23" a="1"/>
  <c r="H34" i="23" s="1"/>
  <c r="Y34" i="23" a="1"/>
  <c r="Y34" i="23" s="1"/>
  <c r="AB36" i="23" a="1"/>
  <c r="AB36" i="23" s="1"/>
  <c r="AA38" i="23" a="1"/>
  <c r="AA38" i="23" s="1"/>
  <c r="V39" i="23" a="1"/>
  <c r="V39" i="23" s="1"/>
  <c r="Q40" i="23" a="1"/>
  <c r="Q40" i="23" s="1"/>
  <c r="N41" i="23" a="1"/>
  <c r="N41" i="23" s="1"/>
  <c r="I42" i="23" a="1"/>
  <c r="I42" i="23" s="1"/>
  <c r="F43" i="23" a="1"/>
  <c r="F43" i="23" s="1"/>
  <c r="AA43" i="23" a="1"/>
  <c r="AA43" i="23" s="1"/>
  <c r="W44" i="23" a="1"/>
  <c r="W44" i="23" s="1"/>
  <c r="R45" i="23" a="1"/>
  <c r="R45" i="23" s="1"/>
  <c r="O46" i="23" a="1"/>
  <c r="O46" i="23" s="1"/>
  <c r="K47" i="23" a="1"/>
  <c r="K47" i="23" s="1"/>
  <c r="F48" i="23" a="1"/>
  <c r="F48" i="23" s="1"/>
  <c r="D49" i="23" a="1"/>
  <c r="D49" i="23" s="1"/>
  <c r="Y49" i="23" a="1"/>
  <c r="Y49" i="23" s="1"/>
  <c r="U50" i="23" a="1"/>
  <c r="U50" i="23" s="1"/>
  <c r="R51" i="23" a="1"/>
  <c r="R51" i="23" s="1"/>
  <c r="N52" i="23" a="1"/>
  <c r="N52" i="23" s="1"/>
  <c r="L53" i="23" a="1"/>
  <c r="L53" i="23" s="1"/>
  <c r="M2" i="23" a="1"/>
  <c r="M2" i="23" s="1"/>
  <c r="H4" i="23" a="1"/>
  <c r="H4" i="23" s="1"/>
  <c r="D6" i="23" a="1"/>
  <c r="D6" i="23" s="1"/>
  <c r="Z7" i="23" a="1"/>
  <c r="Z7" i="23" s="1"/>
  <c r="X8" i="23" a="1"/>
  <c r="X8" i="23" s="1"/>
  <c r="V9" i="23" a="1"/>
  <c r="V9" i="23" s="1"/>
  <c r="T10" i="23" a="1"/>
  <c r="T10" i="23" s="1"/>
  <c r="R11" i="23" a="1"/>
  <c r="R11" i="23" s="1"/>
  <c r="O12" i="23" a="1"/>
  <c r="O12" i="23" s="1"/>
  <c r="K13" i="23" a="1"/>
  <c r="K13" i="23" s="1"/>
  <c r="G14" i="23" a="1"/>
  <c r="G14" i="23" s="1"/>
  <c r="Z14" i="23" a="1"/>
  <c r="Z14" i="23" s="1"/>
  <c r="S15" i="23" a="1"/>
  <c r="S15" i="23" s="1"/>
  <c r="L16" i="23" a="1"/>
  <c r="L16" i="23" s="1"/>
  <c r="D17" i="23" a="1"/>
  <c r="D17" i="23" s="1"/>
  <c r="U17" i="23" a="1"/>
  <c r="U17" i="23" s="1"/>
  <c r="Z18" i="23" a="1"/>
  <c r="Z18" i="23" s="1"/>
  <c r="R19" i="23" a="1"/>
  <c r="R19" i="23" s="1"/>
  <c r="I20" i="23" a="1"/>
  <c r="I20" i="23" s="1"/>
  <c r="AB20" i="23" a="1"/>
  <c r="AB20" i="23" s="1"/>
  <c r="S21" i="23" a="1"/>
  <c r="S21" i="23" s="1"/>
  <c r="Q23" i="23" a="1"/>
  <c r="Q23" i="23" s="1"/>
  <c r="U24" i="23" a="1"/>
  <c r="U24" i="23" s="1"/>
  <c r="W26" i="23" a="1"/>
  <c r="W26" i="23" s="1"/>
  <c r="N27" i="23" a="1"/>
  <c r="N27" i="23" s="1"/>
  <c r="V28" i="23" a="1"/>
  <c r="V28" i="23" s="1"/>
  <c r="M29" i="23" a="1"/>
  <c r="M29" i="23" s="1"/>
  <c r="E30" i="23" a="1"/>
  <c r="E30" i="23" s="1"/>
  <c r="X30" i="23" a="1"/>
  <c r="X30" i="23" s="1"/>
  <c r="P31" i="23" a="1"/>
  <c r="P31" i="23" s="1"/>
  <c r="G32" i="23" a="1"/>
  <c r="G32" i="23" s="1"/>
  <c r="X32" i="23" a="1"/>
  <c r="X32" i="23" s="1"/>
  <c r="P33" i="23" a="1"/>
  <c r="P33" i="23" s="1"/>
  <c r="Z34" i="23" a="1"/>
  <c r="Z34" i="23" s="1"/>
  <c r="P35" i="23" a="1"/>
  <c r="P35" i="23" s="1"/>
  <c r="H36" i="23" a="1"/>
  <c r="H36" i="23" s="1"/>
  <c r="AC36" i="23" a="1"/>
  <c r="AC36" i="23" s="1"/>
  <c r="R37" i="23" a="1"/>
  <c r="R37" i="23" s="1"/>
  <c r="J38" i="23" a="1"/>
  <c r="J38" i="23" s="1"/>
  <c r="W39" i="23" a="1"/>
  <c r="W39" i="23" s="1"/>
  <c r="R40" i="23" a="1"/>
  <c r="R40" i="23" s="1"/>
  <c r="O41" i="23" a="1"/>
  <c r="O41" i="23" s="1"/>
  <c r="J42" i="23" a="1"/>
  <c r="J42" i="23" s="1"/>
  <c r="G43" i="23" a="1"/>
  <c r="G43" i="23" s="1"/>
  <c r="AB43" i="23" a="1"/>
  <c r="AB43" i="23" s="1"/>
  <c r="X44" i="23" a="1"/>
  <c r="X44" i="23" s="1"/>
  <c r="S45" i="23" a="1"/>
  <c r="S45" i="23" s="1"/>
  <c r="P46" i="23" a="1"/>
  <c r="P46" i="23" s="1"/>
  <c r="L47" i="23" a="1"/>
  <c r="L47" i="23" s="1"/>
  <c r="G48" i="23" a="1"/>
  <c r="G48" i="23" s="1"/>
  <c r="Z49" i="23" a="1"/>
  <c r="Z49" i="23" s="1"/>
  <c r="V50" i="23" a="1"/>
  <c r="V50" i="23" s="1"/>
  <c r="S51" i="23" a="1"/>
  <c r="S51" i="23" s="1"/>
  <c r="O52" i="23" a="1"/>
  <c r="O52" i="23" s="1"/>
  <c r="M53" i="23" a="1"/>
  <c r="M53" i="23" s="1"/>
  <c r="J3" i="23" a="1"/>
  <c r="J3" i="23" s="1"/>
  <c r="F5" i="23" a="1"/>
  <c r="F5" i="23" s="1"/>
  <c r="AB6" i="23" a="1"/>
  <c r="AB6" i="23" s="1"/>
  <c r="N2" i="23" a="1"/>
  <c r="N2" i="23" s="1"/>
  <c r="K3" i="23" a="1"/>
  <c r="K3" i="23" s="1"/>
  <c r="I4" i="23" a="1"/>
  <c r="I4" i="23" s="1"/>
  <c r="G5" i="23" a="1"/>
  <c r="G5" i="23" s="1"/>
  <c r="E6" i="23" a="1"/>
  <c r="E6" i="23" s="1"/>
  <c r="AC6" i="23" a="1"/>
  <c r="AC6" i="23" s="1"/>
  <c r="AA7" i="23" a="1"/>
  <c r="AA7" i="23" s="1"/>
  <c r="Y8" i="23" a="1"/>
  <c r="Y8" i="23" s="1"/>
  <c r="W9" i="23" a="1"/>
  <c r="W9" i="23" s="1"/>
  <c r="U10" i="23" a="1"/>
  <c r="U10" i="23" s="1"/>
  <c r="S11" i="23" a="1"/>
  <c r="S11" i="23" s="1"/>
  <c r="P12" i="23" a="1"/>
  <c r="P12" i="23" s="1"/>
  <c r="L13" i="23" a="1"/>
  <c r="L13" i="23" s="1"/>
  <c r="AA14" i="23" a="1"/>
  <c r="AA14" i="23" s="1"/>
  <c r="T15" i="23" a="1"/>
  <c r="T15" i="23" s="1"/>
  <c r="E17" i="23" a="1"/>
  <c r="E17" i="23" s="1"/>
  <c r="V17" i="23" a="1"/>
  <c r="V17" i="23" s="1"/>
  <c r="K18" i="23" a="1"/>
  <c r="K18" i="23" s="1"/>
  <c r="S19" i="23" a="1"/>
  <c r="S19" i="23" s="1"/>
  <c r="J20" i="23" a="1"/>
  <c r="J20" i="23" s="1"/>
  <c r="AC20" i="23" a="1"/>
  <c r="AC20" i="23" s="1"/>
  <c r="K22" i="23" a="1"/>
  <c r="K22" i="23" s="1"/>
  <c r="AA22" i="23" a="1"/>
  <c r="AA22" i="23" s="1"/>
  <c r="R23" i="23" a="1"/>
  <c r="R23" i="23" s="1"/>
  <c r="F24" i="23" a="1"/>
  <c r="F24" i="23" s="1"/>
  <c r="M25" i="23" a="1"/>
  <c r="M25" i="23" s="1"/>
  <c r="E26" i="23" a="1"/>
  <c r="E26" i="23" s="1"/>
  <c r="X26" i="23" a="1"/>
  <c r="X26" i="23" s="1"/>
  <c r="E28" i="23" a="1"/>
  <c r="E28" i="23" s="1"/>
  <c r="N29" i="23" a="1"/>
  <c r="N29" i="23" s="1"/>
  <c r="Y30" i="23" a="1"/>
  <c r="Y30" i="23" s="1"/>
  <c r="H32" i="23" a="1"/>
  <c r="H32" i="23" s="1"/>
  <c r="Q33" i="23" a="1"/>
  <c r="Q33" i="23" s="1"/>
  <c r="I34" i="23" a="1"/>
  <c r="I34" i="23" s="1"/>
  <c r="S37" i="23" a="1"/>
  <c r="S37" i="23" s="1"/>
  <c r="AB38" i="23" a="1"/>
  <c r="AB38" i="23" s="1"/>
  <c r="X39" i="23" a="1"/>
  <c r="X39" i="23" s="1"/>
  <c r="S40" i="23" a="1"/>
  <c r="S40" i="23" s="1"/>
  <c r="P41" i="23" a="1"/>
  <c r="P41" i="23" s="1"/>
  <c r="K42" i="23" a="1"/>
  <c r="K42" i="23" s="1"/>
  <c r="H43" i="23" a="1"/>
  <c r="H43" i="23" s="1"/>
  <c r="Y44" i="23" a="1"/>
  <c r="Y44" i="23" s="1"/>
  <c r="T45" i="23" a="1"/>
  <c r="T45" i="23" s="1"/>
  <c r="M47" i="23" a="1"/>
  <c r="M47" i="23" s="1"/>
  <c r="H48" i="23" a="1"/>
  <c r="H48" i="23" s="1"/>
  <c r="E49" i="23" a="1"/>
  <c r="E49" i="23" s="1"/>
  <c r="AA49" i="23" a="1"/>
  <c r="AA49" i="23" s="1"/>
  <c r="W50" i="23" a="1"/>
  <c r="W50" i="23" s="1"/>
  <c r="T51" i="23" a="1"/>
  <c r="T51" i="23" s="1"/>
  <c r="P52" i="23" a="1"/>
  <c r="P52" i="23" s="1"/>
  <c r="N53" i="23" a="1"/>
  <c r="N53" i="23" s="1"/>
  <c r="F6" i="23" a="1"/>
  <c r="F6" i="23" s="1"/>
  <c r="D7" i="23" a="1"/>
  <c r="D7" i="23" s="1"/>
  <c r="AB7" i="23" a="1"/>
  <c r="AB7" i="23" s="1"/>
  <c r="Z8" i="23" a="1"/>
  <c r="Z8" i="23" s="1"/>
  <c r="X9" i="23" a="1"/>
  <c r="X9" i="23" s="1"/>
  <c r="V10" i="23" a="1"/>
  <c r="V10" i="23" s="1"/>
  <c r="T11" i="23" a="1"/>
  <c r="T11" i="23" s="1"/>
  <c r="Q12" i="23" a="1"/>
  <c r="Q12" i="23" s="1"/>
  <c r="M13" i="23" a="1"/>
  <c r="M13" i="23" s="1"/>
  <c r="H14" i="23" a="1"/>
  <c r="H14" i="23" s="1"/>
  <c r="AB14" i="23" a="1"/>
  <c r="AB14" i="23" s="1"/>
  <c r="U15" i="23" a="1"/>
  <c r="U15" i="23" s="1"/>
  <c r="M16" i="23" a="1"/>
  <c r="M16" i="23" s="1"/>
  <c r="F17" i="23" a="1"/>
  <c r="F17" i="23" s="1"/>
  <c r="L18" i="23" a="1"/>
  <c r="L18" i="23" s="1"/>
  <c r="AA18" i="23" a="1"/>
  <c r="AA18" i="23" s="1"/>
  <c r="K20" i="23" a="1"/>
  <c r="K20" i="23" s="1"/>
  <c r="T21" i="23" a="1"/>
  <c r="T21" i="23" s="1"/>
  <c r="AB22" i="23" a="1"/>
  <c r="AB22" i="23" s="1"/>
  <c r="G24" i="23" a="1"/>
  <c r="G24" i="23" s="1"/>
  <c r="V24" i="23" a="1"/>
  <c r="V24" i="23" s="1"/>
  <c r="N25" i="23" a="1"/>
  <c r="N25" i="23" s="1"/>
  <c r="O27" i="23" a="1"/>
  <c r="O27" i="23" s="1"/>
  <c r="W28" i="23" a="1"/>
  <c r="W28" i="23" s="1"/>
  <c r="O29" i="23" a="1"/>
  <c r="O29" i="23" s="1"/>
  <c r="F30" i="23" a="1"/>
  <c r="F30" i="23" s="1"/>
  <c r="Q31" i="23" a="1"/>
  <c r="Q31" i="23" s="1"/>
  <c r="Y32" i="23" a="1"/>
  <c r="Y32" i="23" s="1"/>
  <c r="R33" i="23" a="1"/>
  <c r="R33" i="23" s="1"/>
  <c r="J34" i="23" a="1"/>
  <c r="J34" i="23" s="1"/>
  <c r="AA34" i="23" a="1"/>
  <c r="AA34" i="23" s="1"/>
  <c r="Q35" i="23" a="1"/>
  <c r="Q35" i="23" s="1"/>
  <c r="I36" i="23" a="1"/>
  <c r="I36" i="23" s="1"/>
  <c r="D37" i="23" a="1"/>
  <c r="D37" i="23" s="1"/>
  <c r="T37" i="23" a="1"/>
  <c r="T37" i="23" s="1"/>
  <c r="K38" i="23" a="1"/>
  <c r="K38" i="23" s="1"/>
  <c r="AC38" i="23" a="1"/>
  <c r="AC38" i="23" s="1"/>
  <c r="Y39" i="23" a="1"/>
  <c r="Y39" i="23" s="1"/>
  <c r="T40" i="23" a="1"/>
  <c r="T40" i="23" s="1"/>
  <c r="Q41" i="23" a="1"/>
  <c r="Q41" i="23" s="1"/>
  <c r="L42" i="23" a="1"/>
  <c r="L42" i="23" s="1"/>
  <c r="I43" i="23" a="1"/>
  <c r="I43" i="23" s="1"/>
  <c r="AC43" i="23" a="1"/>
  <c r="AC43" i="23" s="1"/>
  <c r="Z44" i="23" a="1"/>
  <c r="Z44" i="23" s="1"/>
  <c r="U45" i="23" a="1"/>
  <c r="U45" i="23" s="1"/>
  <c r="Q46" i="23" a="1"/>
  <c r="Q46" i="23" s="1"/>
  <c r="N47" i="23" a="1"/>
  <c r="N47" i="23" s="1"/>
  <c r="I48" i="23" a="1"/>
  <c r="I48" i="23" s="1"/>
  <c r="F49" i="23" a="1"/>
  <c r="F49" i="23" s="1"/>
  <c r="AB49" i="23" a="1"/>
  <c r="AB49" i="23" s="1"/>
  <c r="X50" i="23" a="1"/>
  <c r="X50" i="23" s="1"/>
  <c r="U51" i="23" a="1"/>
  <c r="U51" i="23" s="1"/>
  <c r="Q52" i="23" a="1"/>
  <c r="Q52" i="23" s="1"/>
  <c r="O53" i="23" a="1"/>
  <c r="O53" i="23" s="1"/>
  <c r="K4" i="23" a="1"/>
  <c r="K4" i="23" s="1"/>
  <c r="I5" i="23" a="1"/>
  <c r="I5" i="23" s="1"/>
  <c r="G6" i="23" a="1"/>
  <c r="G6" i="23" s="1"/>
  <c r="E7" i="23" a="1"/>
  <c r="E7" i="23" s="1"/>
  <c r="AC7" i="23" a="1"/>
  <c r="AC7" i="23" s="1"/>
  <c r="AA8" i="23" a="1"/>
  <c r="AA8" i="23" s="1"/>
  <c r="Y9" i="23" a="1"/>
  <c r="Y9" i="23" s="1"/>
  <c r="W10" i="23" a="1"/>
  <c r="W10" i="23" s="1"/>
  <c r="U11" i="23" a="1"/>
  <c r="U11" i="23" s="1"/>
  <c r="R12" i="23" a="1"/>
  <c r="R12" i="23" s="1"/>
  <c r="N13" i="23" a="1"/>
  <c r="N13" i="23" s="1"/>
  <c r="I14" i="23" a="1"/>
  <c r="I14" i="23" s="1"/>
  <c r="AC14" i="23" a="1"/>
  <c r="AC14" i="23" s="1"/>
  <c r="V15" i="23" a="1"/>
  <c r="V15" i="23" s="1"/>
  <c r="N16" i="23" a="1"/>
  <c r="N16" i="23" s="1"/>
  <c r="W17" i="23" a="1"/>
  <c r="W17" i="23" s="1"/>
  <c r="AB18" i="23" a="1"/>
  <c r="AB18" i="23" s="1"/>
  <c r="T19" i="23" a="1"/>
  <c r="T19" i="23" s="1"/>
  <c r="L20" i="23" a="1"/>
  <c r="L20" i="23" s="1"/>
  <c r="D21" i="23" a="1"/>
  <c r="D21" i="23" s="1"/>
  <c r="U21" i="23" a="1"/>
  <c r="U21" i="23" s="1"/>
  <c r="L22" i="23" a="1"/>
  <c r="L22" i="23" s="1"/>
  <c r="AC22" i="23" a="1"/>
  <c r="AC22" i="23" s="1"/>
  <c r="S23" i="23" a="1"/>
  <c r="S23" i="23" s="1"/>
  <c r="F26" i="23" a="1"/>
  <c r="F26" i="23" s="1"/>
  <c r="Y26" i="23" a="1"/>
  <c r="Y26" i="23" s="1"/>
  <c r="P27" i="23" a="1"/>
  <c r="P27" i="23" s="1"/>
  <c r="F28" i="23" a="1"/>
  <c r="F28" i="23" s="1"/>
  <c r="P29" i="23" a="1"/>
  <c r="P29" i="23" s="1"/>
  <c r="G30" i="23" a="1"/>
  <c r="G30" i="23" s="1"/>
  <c r="Z30" i="23" a="1"/>
  <c r="Z30" i="23" s="1"/>
  <c r="I32" i="23" a="1"/>
  <c r="I32" i="23" s="1"/>
  <c r="Z32" i="23" a="1"/>
  <c r="Z32" i="23" s="1"/>
  <c r="AB34" i="23" a="1"/>
  <c r="AB34" i="23" s="1"/>
  <c r="R35" i="23" a="1"/>
  <c r="R35" i="23" s="1"/>
  <c r="J36" i="23" a="1"/>
  <c r="J36" i="23" s="1"/>
  <c r="L38" i="23" a="1"/>
  <c r="L38" i="23" s="1"/>
  <c r="D39" i="23" a="1"/>
  <c r="D39" i="23" s="1"/>
  <c r="Z39" i="23" a="1"/>
  <c r="Z39" i="23" s="1"/>
  <c r="U40" i="23" a="1"/>
  <c r="U40" i="23" s="1"/>
  <c r="R41" i="23" a="1"/>
  <c r="R41" i="23" s="1"/>
  <c r="M42" i="23" a="1"/>
  <c r="M42" i="23" s="1"/>
  <c r="J43" i="23" a="1"/>
  <c r="J43" i="23" s="1"/>
  <c r="D44" i="23" a="1"/>
  <c r="D44" i="23" s="1"/>
  <c r="V45" i="23" a="1"/>
  <c r="V45" i="23" s="1"/>
  <c r="R46" i="23" a="1"/>
  <c r="R46" i="23" s="1"/>
  <c r="O47" i="23" a="1"/>
  <c r="O47" i="23" s="1"/>
  <c r="J48" i="23" a="1"/>
  <c r="J48" i="23" s="1"/>
  <c r="G49" i="23" a="1"/>
  <c r="G49" i="23" s="1"/>
  <c r="AC49" i="23" a="1"/>
  <c r="AC49" i="23" s="1"/>
  <c r="Y50" i="23" a="1"/>
  <c r="Y50" i="23" s="1"/>
  <c r="V51" i="23" a="1"/>
  <c r="V51" i="23" s="1"/>
  <c r="R52" i="23" a="1"/>
  <c r="R52" i="23" s="1"/>
  <c r="P53" i="23" a="1"/>
  <c r="P53" i="23" s="1"/>
  <c r="Q2" i="23" a="1"/>
  <c r="Q2" i="23" s="1"/>
  <c r="N3" i="23" a="1"/>
  <c r="N3" i="23" s="1"/>
  <c r="L4" i="23" a="1"/>
  <c r="L4" i="23" s="1"/>
  <c r="J5" i="23" a="1"/>
  <c r="J5" i="23" s="1"/>
  <c r="H6" i="23" a="1"/>
  <c r="H6" i="23" s="1"/>
  <c r="F7" i="23" a="1"/>
  <c r="F7" i="23" s="1"/>
  <c r="D8" i="23" a="1"/>
  <c r="D8" i="23" s="1"/>
  <c r="AB8" i="23" a="1"/>
  <c r="AB8" i="23" s="1"/>
  <c r="Z9" i="23" a="1"/>
  <c r="Z9" i="23" s="1"/>
  <c r="X10" i="23" a="1"/>
  <c r="X10" i="23" s="1"/>
  <c r="V11" i="23" a="1"/>
  <c r="V11" i="23" s="1"/>
  <c r="S12" i="23" a="1"/>
  <c r="S12" i="23" s="1"/>
  <c r="O13" i="23" a="1"/>
  <c r="O13" i="23" s="1"/>
  <c r="J14" i="23" a="1"/>
  <c r="J14" i="23" s="1"/>
  <c r="W15" i="23" a="1"/>
  <c r="W15" i="23" s="1"/>
  <c r="O16" i="23" a="1"/>
  <c r="O16" i="23" s="1"/>
  <c r="G17" i="23" a="1"/>
  <c r="G17" i="23" s="1"/>
  <c r="M18" i="23" a="1"/>
  <c r="M18" i="23" s="1"/>
  <c r="AC18" i="23" a="1"/>
  <c r="AC18" i="23" s="1"/>
  <c r="M20" i="23" a="1"/>
  <c r="M20" i="23" s="1"/>
  <c r="V21" i="23" a="1"/>
  <c r="V21" i="23" s="1"/>
  <c r="M22" i="23" a="1"/>
  <c r="M22" i="23" s="1"/>
  <c r="T23" i="23" a="1"/>
  <c r="T23" i="23" s="1"/>
  <c r="H24" i="23" a="1"/>
  <c r="H24" i="23" s="1"/>
  <c r="W24" i="23" a="1"/>
  <c r="W24" i="23" s="1"/>
  <c r="O25" i="23" a="1"/>
  <c r="O25" i="23" s="1"/>
  <c r="G26" i="23" a="1"/>
  <c r="G26" i="23" s="1"/>
  <c r="Q27" i="23" a="1"/>
  <c r="Q27" i="23" s="1"/>
  <c r="X28" i="23" a="1"/>
  <c r="X28" i="23" s="1"/>
  <c r="Q29" i="23" a="1"/>
  <c r="Q29" i="23" s="1"/>
  <c r="R31" i="23" a="1"/>
  <c r="R31" i="23" s="1"/>
  <c r="J32" i="23" a="1"/>
  <c r="J32" i="23" s="1"/>
  <c r="AA32" i="23" a="1"/>
  <c r="AA32" i="23" s="1"/>
  <c r="S33" i="23" a="1"/>
  <c r="S33" i="23" s="1"/>
  <c r="K34" i="23" a="1"/>
  <c r="K34" i="23" s="1"/>
  <c r="AC34" i="23" a="1"/>
  <c r="AC34" i="23" s="1"/>
  <c r="S35" i="23" a="1"/>
  <c r="S35" i="23" s="1"/>
  <c r="K36" i="23" a="1"/>
  <c r="K36" i="23" s="1"/>
  <c r="E37" i="23" a="1"/>
  <c r="E37" i="23" s="1"/>
  <c r="U37" i="23" a="1"/>
  <c r="U37" i="23" s="1"/>
  <c r="M38" i="23" a="1"/>
  <c r="M38" i="23" s="1"/>
  <c r="AA39" i="23" a="1"/>
  <c r="AA39" i="23" s="1"/>
  <c r="V40" i="23" a="1"/>
  <c r="V40" i="23" s="1"/>
  <c r="S41" i="23" a="1"/>
  <c r="S41" i="23" s="1"/>
  <c r="N42" i="23" a="1"/>
  <c r="N42" i="23" s="1"/>
  <c r="K43" i="23" a="1"/>
  <c r="K43" i="23" s="1"/>
  <c r="AA44" i="23" a="1"/>
  <c r="AA44" i="23" s="1"/>
  <c r="W45" i="23" a="1"/>
  <c r="W45" i="23" s="1"/>
  <c r="S46" i="23" a="1"/>
  <c r="S46" i="23" s="1"/>
  <c r="P47" i="23" a="1"/>
  <c r="P47" i="23" s="1"/>
  <c r="K48" i="23" a="1"/>
  <c r="K48" i="23" s="1"/>
  <c r="H49" i="23" a="1"/>
  <c r="H49" i="23" s="1"/>
  <c r="D50" i="23" a="1"/>
  <c r="D50" i="23" s="1"/>
  <c r="W51" i="23" a="1"/>
  <c r="W51" i="23" s="1"/>
  <c r="S52" i="23" a="1"/>
  <c r="S52" i="23" s="1"/>
  <c r="Q53" i="23" a="1"/>
  <c r="Q53" i="23" s="1"/>
  <c r="K5" i="23" a="1"/>
  <c r="K5" i="23" s="1"/>
  <c r="I6" i="23" a="1"/>
  <c r="I6" i="23" s="1"/>
  <c r="G7" i="23" a="1"/>
  <c r="G7" i="23" s="1"/>
  <c r="E8" i="23" a="1"/>
  <c r="E8" i="23" s="1"/>
  <c r="AC8" i="23" a="1"/>
  <c r="AC8" i="23" s="1"/>
  <c r="AA9" i="23" a="1"/>
  <c r="AA9" i="23" s="1"/>
  <c r="Y10" i="23" a="1"/>
  <c r="Y10" i="23" s="1"/>
  <c r="W11" i="23" a="1"/>
  <c r="W11" i="23" s="1"/>
  <c r="T12" i="23" a="1"/>
  <c r="T12" i="23" s="1"/>
  <c r="P13" i="23" a="1"/>
  <c r="P13" i="23" s="1"/>
  <c r="K14" i="23" a="1"/>
  <c r="K14" i="23" s="1"/>
  <c r="D15" i="23" a="1"/>
  <c r="D15" i="23" s="1"/>
  <c r="P16" i="23" a="1"/>
  <c r="P16" i="23" s="1"/>
  <c r="H17" i="23" a="1"/>
  <c r="H17" i="23" s="1"/>
  <c r="X17" i="23" a="1"/>
  <c r="X17" i="23" s="1"/>
  <c r="D19" i="23" a="1"/>
  <c r="D19" i="23" s="1"/>
  <c r="U19" i="23" a="1"/>
  <c r="U19" i="23" s="1"/>
  <c r="E21" i="23" a="1"/>
  <c r="E21" i="23" s="1"/>
  <c r="W21" i="23" a="1"/>
  <c r="W21" i="23" s="1"/>
  <c r="D23" i="23" a="1"/>
  <c r="D23" i="23" s="1"/>
  <c r="X24" i="23" a="1"/>
  <c r="X24" i="23" s="1"/>
  <c r="P25" i="23" a="1"/>
  <c r="P25" i="23" s="1"/>
  <c r="H26" i="23" a="1"/>
  <c r="H26" i="23" s="1"/>
  <c r="Z26" i="23" a="1"/>
  <c r="Z26" i="23" s="1"/>
  <c r="R27" i="23" a="1"/>
  <c r="R27" i="23" s="1"/>
  <c r="G28" i="23" a="1"/>
  <c r="G28" i="23" s="1"/>
  <c r="R29" i="23" a="1"/>
  <c r="R29" i="23" s="1"/>
  <c r="H30" i="23" a="1"/>
  <c r="H30" i="23" s="1"/>
  <c r="AA30" i="23" a="1"/>
  <c r="AA30" i="23" s="1"/>
  <c r="S31" i="23" a="1"/>
  <c r="S31" i="23" s="1"/>
  <c r="L34" i="23" a="1"/>
  <c r="L34" i="23" s="1"/>
  <c r="D35" i="23" a="1"/>
  <c r="D35" i="23" s="1"/>
  <c r="T35" i="23" a="1"/>
  <c r="T35" i="23" s="1"/>
  <c r="L36" i="23" a="1"/>
  <c r="L36" i="23" s="1"/>
  <c r="V37" i="23" a="1"/>
  <c r="V37" i="23" s="1"/>
  <c r="N38" i="23" a="1"/>
  <c r="N38" i="23" s="1"/>
  <c r="E39" i="23" a="1"/>
  <c r="E39" i="23" s="1"/>
  <c r="AB39" i="23" a="1"/>
  <c r="AB39" i="23" s="1"/>
  <c r="W40" i="23" a="1"/>
  <c r="W40" i="23" s="1"/>
  <c r="T41" i="23" a="1"/>
  <c r="T41" i="23" s="1"/>
  <c r="O42" i="23" a="1"/>
  <c r="O42" i="23" s="1"/>
  <c r="L43" i="23" a="1"/>
  <c r="L43" i="23" s="1"/>
  <c r="E44" i="23" a="1"/>
  <c r="E44" i="23" s="1"/>
  <c r="AB44" i="23" a="1"/>
  <c r="AB44" i="23" s="1"/>
  <c r="X45" i="23" a="1"/>
  <c r="X45" i="23" s="1"/>
  <c r="T46" i="23" a="1"/>
  <c r="T46" i="23" s="1"/>
  <c r="Q47" i="23" a="1"/>
  <c r="Q47" i="23" s="1"/>
  <c r="L48" i="23" a="1"/>
  <c r="L48" i="23" s="1"/>
  <c r="I49" i="23" a="1"/>
  <c r="I49" i="23" s="1"/>
  <c r="E50" i="23" a="1"/>
  <c r="E50" i="23" s="1"/>
  <c r="Z50" i="23" a="1"/>
  <c r="Z50" i="23" s="1"/>
  <c r="X51" i="23" a="1"/>
  <c r="X51" i="23" s="1"/>
  <c r="T52" i="23" a="1"/>
  <c r="T52" i="23" s="1"/>
  <c r="R53" i="23" a="1"/>
  <c r="R53" i="23" s="1"/>
  <c r="J6" i="23" a="1"/>
  <c r="J6" i="23" s="1"/>
  <c r="F8" i="23" a="1"/>
  <c r="F8" i="23" s="1"/>
  <c r="AB9" i="23" a="1"/>
  <c r="AB9" i="23" s="1"/>
  <c r="X11" i="23" a="1"/>
  <c r="X11" i="23" s="1"/>
  <c r="Q13" i="23" a="1"/>
  <c r="Q13" i="23" s="1"/>
  <c r="E15" i="23" a="1"/>
  <c r="E15" i="23" s="1"/>
  <c r="X15" i="23" a="1"/>
  <c r="X15" i="23" s="1"/>
  <c r="Q16" i="23" a="1"/>
  <c r="Q16" i="23" s="1"/>
  <c r="I17" i="23" a="1"/>
  <c r="I17" i="23" s="1"/>
  <c r="Y17" i="23" a="1"/>
  <c r="Y17" i="23" s="1"/>
  <c r="N18" i="23" a="1"/>
  <c r="N18" i="23" s="1"/>
  <c r="V19" i="23" a="1"/>
  <c r="V19" i="23" s="1"/>
  <c r="N20" i="23" a="1"/>
  <c r="N20" i="23" s="1"/>
  <c r="F21" i="23" a="1"/>
  <c r="F21" i="23" s="1"/>
  <c r="N22" i="23" a="1"/>
  <c r="N22" i="23" s="1"/>
  <c r="E23" i="23" a="1"/>
  <c r="E23" i="23" s="1"/>
  <c r="U23" i="23" a="1"/>
  <c r="U23" i="23" s="1"/>
  <c r="I24" i="23" a="1"/>
  <c r="I24" i="23" s="1"/>
  <c r="Y24" i="23" a="1"/>
  <c r="Y24" i="23" s="1"/>
  <c r="Q25" i="23" a="1"/>
  <c r="Q25" i="23" s="1"/>
  <c r="I26" i="23" a="1"/>
  <c r="I26" i="23" s="1"/>
  <c r="AA26" i="23" a="1"/>
  <c r="AA26" i="23" s="1"/>
  <c r="S27" i="23" a="1"/>
  <c r="S27" i="23" s="1"/>
  <c r="H28" i="23" a="1"/>
  <c r="H28" i="23" s="1"/>
  <c r="Y28" i="23" a="1"/>
  <c r="Y28" i="23" s="1"/>
  <c r="S29" i="23" a="1"/>
  <c r="S29" i="23" s="1"/>
  <c r="I30" i="23" a="1"/>
  <c r="I30" i="23" s="1"/>
  <c r="AB30" i="23" a="1"/>
  <c r="AB30" i="23" s="1"/>
  <c r="T31" i="23" a="1"/>
  <c r="T31" i="23" s="1"/>
  <c r="K32" i="23" a="1"/>
  <c r="K32" i="23" s="1"/>
  <c r="AB32" i="23" a="1"/>
  <c r="AB32" i="23" s="1"/>
  <c r="T33" i="23" a="1"/>
  <c r="T33" i="23" s="1"/>
  <c r="E35" i="23" a="1"/>
  <c r="E35" i="23" s="1"/>
  <c r="U35" i="23" a="1"/>
  <c r="U35" i="23" s="1"/>
  <c r="M36" i="23" a="1"/>
  <c r="M36" i="23" s="1"/>
  <c r="F37" i="23" a="1"/>
  <c r="F37" i="23" s="1"/>
  <c r="W37" i="23" a="1"/>
  <c r="W37" i="23" s="1"/>
  <c r="O38" i="23" a="1"/>
  <c r="O38" i="23" s="1"/>
  <c r="F39" i="23" a="1"/>
  <c r="F39" i="23" s="1"/>
  <c r="AC39" i="23" a="1"/>
  <c r="AC39" i="23" s="1"/>
  <c r="X40" i="23" a="1"/>
  <c r="X40" i="23" s="1"/>
  <c r="U41" i="23" a="1"/>
  <c r="U41" i="23" s="1"/>
  <c r="P42" i="23" a="1"/>
  <c r="P42" i="23" s="1"/>
  <c r="M43" i="23" a="1"/>
  <c r="M43" i="23" s="1"/>
  <c r="F44" i="23" a="1"/>
  <c r="F44" i="23" s="1"/>
  <c r="AC44" i="23" a="1"/>
  <c r="AC44" i="23" s="1"/>
  <c r="Y45" i="23" a="1"/>
  <c r="Y45" i="23" s="1"/>
  <c r="U46" i="23" a="1"/>
  <c r="U46" i="23" s="1"/>
  <c r="R47" i="23" a="1"/>
  <c r="R47" i="23" s="1"/>
  <c r="M48" i="23" a="1"/>
  <c r="M48" i="23" s="1"/>
  <c r="J49" i="23" a="1"/>
  <c r="J49" i="23" s="1"/>
  <c r="F50" i="23" a="1"/>
  <c r="F50" i="23" s="1"/>
  <c r="AA50" i="23" a="1"/>
  <c r="AA50" i="23" s="1"/>
  <c r="Y51" i="23" a="1"/>
  <c r="Y51" i="23" s="1"/>
  <c r="U52" i="23" a="1"/>
  <c r="U52" i="23" s="1"/>
  <c r="S53" i="23" a="1"/>
  <c r="S53" i="23" s="1"/>
  <c r="H7" i="23" a="1"/>
  <c r="H7" i="23" s="1"/>
  <c r="D9" i="23" a="1"/>
  <c r="D9" i="23" s="1"/>
  <c r="Z10" i="23" a="1"/>
  <c r="Z10" i="23" s="1"/>
  <c r="U12" i="23" a="1"/>
  <c r="U12" i="23" s="1"/>
  <c r="L14" i="23" a="1"/>
  <c r="L14" i="23" s="1"/>
  <c r="S2" i="23" a="1"/>
  <c r="S2" i="23" s="1"/>
  <c r="Q3" i="23" a="1"/>
  <c r="Q3" i="23" s="1"/>
  <c r="O4" i="23" a="1"/>
  <c r="O4" i="23" s="1"/>
  <c r="M5" i="23" a="1"/>
  <c r="M5" i="23" s="1"/>
  <c r="K6" i="23" a="1"/>
  <c r="K6" i="23" s="1"/>
  <c r="I7" i="23" a="1"/>
  <c r="I7" i="23" s="1"/>
  <c r="G8" i="23" a="1"/>
  <c r="G8" i="23" s="1"/>
  <c r="E9" i="23" a="1"/>
  <c r="E9" i="23" s="1"/>
  <c r="AC9" i="23" a="1"/>
  <c r="AC9" i="23" s="1"/>
  <c r="AA10" i="23" a="1"/>
  <c r="AA10" i="23" s="1"/>
  <c r="Y11" i="23" a="1"/>
  <c r="Y11" i="23" s="1"/>
  <c r="V12" i="23" a="1"/>
  <c r="V12" i="23" s="1"/>
  <c r="R13" i="23" a="1"/>
  <c r="R13" i="23" s="1"/>
  <c r="M14" i="23" a="1"/>
  <c r="M14" i="23" s="1"/>
  <c r="F15" i="23" a="1"/>
  <c r="F15" i="23" s="1"/>
  <c r="Y15" i="23" a="1"/>
  <c r="Y15" i="23" s="1"/>
  <c r="R16" i="23" a="1"/>
  <c r="R16" i="23" s="1"/>
  <c r="Z17" i="23" a="1"/>
  <c r="Z17" i="23" s="1"/>
  <c r="E19" i="23" a="1"/>
  <c r="E19" i="23" s="1"/>
  <c r="W19" i="23" a="1"/>
  <c r="W19" i="23" s="1"/>
  <c r="O20" i="23" a="1"/>
  <c r="O20" i="23" s="1"/>
  <c r="X21" i="23" a="1"/>
  <c r="X21" i="23" s="1"/>
  <c r="O22" i="23" a="1"/>
  <c r="O22" i="23" s="1"/>
  <c r="F23" i="23" a="1"/>
  <c r="F23" i="23" s="1"/>
  <c r="Z24" i="23" a="1"/>
  <c r="Z24" i="23" s="1"/>
  <c r="J26" i="23" a="1"/>
  <c r="J26" i="23" s="1"/>
  <c r="T27" i="23" a="1"/>
  <c r="T27" i="23" s="1"/>
  <c r="Z28" i="23" a="1"/>
  <c r="Z28" i="23" s="1"/>
  <c r="J30" i="23" a="1"/>
  <c r="J30" i="23" s="1"/>
  <c r="AC30" i="23" a="1"/>
  <c r="AC30" i="23" s="1"/>
  <c r="L32" i="23" a="1"/>
  <c r="L32" i="23" s="1"/>
  <c r="AC32" i="23" a="1"/>
  <c r="AC32" i="23" s="1"/>
  <c r="M34" i="23" a="1"/>
  <c r="M34" i="23" s="1"/>
  <c r="F35" i="23" a="1"/>
  <c r="F35" i="23" s="1"/>
  <c r="V35" i="23" a="1"/>
  <c r="V35" i="23" s="1"/>
  <c r="X37" i="23" a="1"/>
  <c r="X37" i="23" s="1"/>
  <c r="P38" i="23" a="1"/>
  <c r="P38" i="23" s="1"/>
  <c r="D40" i="23" a="1"/>
  <c r="D40" i="23" s="1"/>
  <c r="Y40" i="23" a="1"/>
  <c r="Y40" i="23" s="1"/>
  <c r="V41" i="23" a="1"/>
  <c r="V41" i="23" s="1"/>
  <c r="Q42" i="23" a="1"/>
  <c r="Q42" i="23" s="1"/>
  <c r="N43" i="23" a="1"/>
  <c r="N43" i="23" s="1"/>
  <c r="G44" i="23" a="1"/>
  <c r="G44" i="23" s="1"/>
  <c r="D45" i="23" a="1"/>
  <c r="D45" i="23" s="1"/>
  <c r="Z45" i="23" a="1"/>
  <c r="Z45" i="23" s="1"/>
  <c r="S47" i="23" a="1"/>
  <c r="S47" i="23" s="1"/>
  <c r="N48" i="23" a="1"/>
  <c r="N48" i="23" s="1"/>
  <c r="G50" i="23" a="1"/>
  <c r="G50" i="23" s="1"/>
  <c r="AB50" i="23" a="1"/>
  <c r="AB50" i="23" s="1"/>
  <c r="Z51" i="23" a="1"/>
  <c r="Z51" i="23" s="1"/>
  <c r="V52" i="23" a="1"/>
  <c r="V52" i="23" s="1"/>
  <c r="T53" i="23" a="1"/>
  <c r="T53" i="23" s="1"/>
  <c r="R3" i="23" a="1"/>
  <c r="R3" i="23" s="1"/>
  <c r="N5" i="23" a="1"/>
  <c r="N5" i="23" s="1"/>
  <c r="L6" i="23" a="1"/>
  <c r="L6" i="23" s="1"/>
  <c r="J7" i="23" a="1"/>
  <c r="J7" i="23" s="1"/>
  <c r="H8" i="23" a="1"/>
  <c r="H8" i="23" s="1"/>
  <c r="F9" i="23" a="1"/>
  <c r="F9" i="23" s="1"/>
  <c r="D10" i="23" a="1"/>
  <c r="D10" i="23" s="1"/>
  <c r="AB10" i="23" a="1"/>
  <c r="AB10" i="23" s="1"/>
  <c r="Z11" i="23" a="1"/>
  <c r="Z11" i="23" s="1"/>
  <c r="W12" i="23" a="1"/>
  <c r="W12" i="23" s="1"/>
  <c r="S13" i="23" a="1"/>
  <c r="S13" i="23" s="1"/>
  <c r="G15" i="23" a="1"/>
  <c r="G15" i="23" s="1"/>
  <c r="J17" i="23" a="1"/>
  <c r="J17" i="23" s="1"/>
  <c r="O18" i="23" a="1"/>
  <c r="O18" i="23" s="1"/>
  <c r="F19" i="23" a="1"/>
  <c r="F19" i="23" s="1"/>
  <c r="X19" i="23" a="1"/>
  <c r="X19" i="23" s="1"/>
  <c r="P20" i="23" a="1"/>
  <c r="P20" i="23" s="1"/>
  <c r="G21" i="23" a="1"/>
  <c r="G21" i="23" s="1"/>
  <c r="P22" i="23" a="1"/>
  <c r="P22" i="23" s="1"/>
  <c r="G23" i="23" a="1"/>
  <c r="G23" i="23" s="1"/>
  <c r="V23" i="23" a="1"/>
  <c r="V23" i="23" s="1"/>
  <c r="J24" i="23" a="1"/>
  <c r="J24" i="23" s="1"/>
  <c r="AA24" i="23" a="1"/>
  <c r="AA24" i="23" s="1"/>
  <c r="R25" i="23" a="1"/>
  <c r="R25" i="23" s="1"/>
  <c r="K26" i="23" a="1"/>
  <c r="K26" i="23" s="1"/>
  <c r="AB26" i="23" a="1"/>
  <c r="AB26" i="23" s="1"/>
  <c r="I28" i="23" a="1"/>
  <c r="I28" i="23" s="1"/>
  <c r="AA28" i="23" a="1"/>
  <c r="AA28" i="23" s="1"/>
  <c r="T29" i="23" a="1"/>
  <c r="T29" i="23" s="1"/>
  <c r="K30" i="23" a="1"/>
  <c r="K30" i="23" s="1"/>
  <c r="D31" i="23" a="1"/>
  <c r="D31" i="23" s="1"/>
  <c r="U31" i="23" a="1"/>
  <c r="U31" i="23" s="1"/>
  <c r="D33" i="23" a="1"/>
  <c r="D33" i="23" s="1"/>
  <c r="U33" i="23" a="1"/>
  <c r="U33" i="23" s="1"/>
  <c r="N34" i="23" a="1"/>
  <c r="N34" i="23" s="1"/>
  <c r="W35" i="23" a="1"/>
  <c r="W35" i="23" s="1"/>
  <c r="N36" i="23" a="1"/>
  <c r="N36" i="23" s="1"/>
  <c r="G37" i="23" a="1"/>
  <c r="G37" i="23" s="1"/>
  <c r="Y37" i="23" a="1"/>
  <c r="Y37" i="23" s="1"/>
  <c r="G39" i="23" a="1"/>
  <c r="G39" i="23" s="1"/>
  <c r="Z40" i="23" a="1"/>
  <c r="Z40" i="23" s="1"/>
  <c r="W41" i="23" a="1"/>
  <c r="W41" i="23" s="1"/>
  <c r="R42" i="23" a="1"/>
  <c r="R42" i="23" s="1"/>
  <c r="O43" i="23" a="1"/>
  <c r="O43" i="23" s="1"/>
  <c r="H44" i="23" a="1"/>
  <c r="H44" i="23" s="1"/>
  <c r="E45" i="23" a="1"/>
  <c r="E45" i="23" s="1"/>
  <c r="AA45" i="23" a="1"/>
  <c r="AA45" i="23" s="1"/>
  <c r="V46" i="23" a="1"/>
  <c r="V46" i="23" s="1"/>
  <c r="T47" i="23" a="1"/>
  <c r="T47" i="23" s="1"/>
  <c r="O48" i="23" a="1"/>
  <c r="O48" i="23" s="1"/>
  <c r="K49" i="23" a="1"/>
  <c r="K49" i="23" s="1"/>
  <c r="H50" i="23" a="1"/>
  <c r="H50" i="23" s="1"/>
  <c r="AC50" i="23" a="1"/>
  <c r="AC50" i="23" s="1"/>
  <c r="AA51" i="23" a="1"/>
  <c r="AA51" i="23" s="1"/>
  <c r="W52" i="23" a="1"/>
  <c r="W52" i="23" s="1"/>
  <c r="U53" i="23" a="1"/>
  <c r="U53" i="23" s="1"/>
  <c r="L5" i="23" a="1"/>
  <c r="L5" i="23" s="1"/>
  <c r="P4" i="23" a="1"/>
  <c r="P4" i="23" s="1"/>
  <c r="U2" i="23" a="1"/>
  <c r="U2" i="23" s="1"/>
  <c r="S3" i="23" a="1"/>
  <c r="S3" i="23" s="1"/>
  <c r="Q4" i="23" a="1"/>
  <c r="Q4" i="23" s="1"/>
  <c r="O5" i="23" a="1"/>
  <c r="O5" i="23" s="1"/>
  <c r="M6" i="23" a="1"/>
  <c r="M6" i="23" s="1"/>
  <c r="K7" i="23" a="1"/>
  <c r="K7" i="23" s="1"/>
  <c r="I8" i="23" a="1"/>
  <c r="I8" i="23" s="1"/>
  <c r="G9" i="23" a="1"/>
  <c r="G9" i="23" s="1"/>
  <c r="E10" i="23" a="1"/>
  <c r="E10" i="23" s="1"/>
  <c r="AC10" i="23" a="1"/>
  <c r="AC10" i="23" s="1"/>
  <c r="AA11" i="23" a="1"/>
  <c r="AA11" i="23" s="1"/>
  <c r="T13" i="23" a="1"/>
  <c r="T13" i="23" s="1"/>
  <c r="N14" i="23" a="1"/>
  <c r="N14" i="23" s="1"/>
  <c r="H15" i="23" a="1"/>
  <c r="H15" i="23" s="1"/>
  <c r="Z15" i="23" a="1"/>
  <c r="Z15" i="23" s="1"/>
  <c r="S16" i="23" a="1"/>
  <c r="S16" i="23" s="1"/>
  <c r="AA17" i="23" a="1"/>
  <c r="AA17" i="23" s="1"/>
  <c r="P18" i="23" a="1"/>
  <c r="P18" i="23" s="1"/>
  <c r="H21" i="23" a="1"/>
  <c r="H21" i="23" s="1"/>
  <c r="Y21" i="23" a="1"/>
  <c r="Y21" i="23" s="1"/>
  <c r="AB24" i="23" a="1"/>
  <c r="AB24" i="23" s="1"/>
  <c r="L26" i="23" a="1"/>
  <c r="L26" i="23" s="1"/>
  <c r="AC26" i="23" a="1"/>
  <c r="AC26" i="23" s="1"/>
  <c r="U27" i="23" a="1"/>
  <c r="U27" i="23" s="1"/>
  <c r="J28" i="23" a="1"/>
  <c r="J28" i="23" s="1"/>
  <c r="AB28" i="23" a="1"/>
  <c r="AB28" i="23" s="1"/>
  <c r="L30" i="23" a="1"/>
  <c r="L30" i="23" s="1"/>
  <c r="E31" i="23" a="1"/>
  <c r="E31" i="23" s="1"/>
  <c r="V31" i="23" a="1"/>
  <c r="V31" i="23" s="1"/>
  <c r="M32" i="23" a="1"/>
  <c r="M32" i="23" s="1"/>
  <c r="V33" i="23" a="1"/>
  <c r="V33" i="23" s="1"/>
  <c r="O34" i="23" a="1"/>
  <c r="O34" i="23" s="1"/>
  <c r="G35" i="23" a="1"/>
  <c r="G35" i="23" s="1"/>
  <c r="X35" i="23" a="1"/>
  <c r="X35" i="23" s="1"/>
  <c r="O36" i="23" a="1"/>
  <c r="O36" i="23" s="1"/>
  <c r="H37" i="23" a="1"/>
  <c r="H37" i="23" s="1"/>
  <c r="Z37" i="23" a="1"/>
  <c r="Z37" i="23" s="1"/>
  <c r="Q38" i="23" a="1"/>
  <c r="Q38" i="23" s="1"/>
  <c r="H39" i="23" a="1"/>
  <c r="H39" i="23" s="1"/>
  <c r="E40" i="23" a="1"/>
  <c r="E40" i="23" s="1"/>
  <c r="AA40" i="23" a="1"/>
  <c r="AA40" i="23" s="1"/>
  <c r="X41" i="23" a="1"/>
  <c r="X41" i="23" s="1"/>
  <c r="S42" i="23" a="1"/>
  <c r="S42" i="23" s="1"/>
  <c r="I44" i="23" a="1"/>
  <c r="I44" i="23" s="1"/>
  <c r="F45" i="23" a="1"/>
  <c r="F45" i="23" s="1"/>
  <c r="AB45" i="23" a="1"/>
  <c r="AB45" i="23" s="1"/>
  <c r="W46" i="23" a="1"/>
  <c r="W46" i="23" s="1"/>
  <c r="P48" i="23" a="1"/>
  <c r="P48" i="23" s="1"/>
  <c r="L49" i="23" a="1"/>
  <c r="L49" i="23" s="1"/>
  <c r="I50" i="23" a="1"/>
  <c r="I50" i="23" s="1"/>
  <c r="D51" i="23" a="1"/>
  <c r="D51" i="23" s="1"/>
  <c r="AB51" i="23" a="1"/>
  <c r="AB51" i="23" s="1"/>
  <c r="X52" i="23" a="1"/>
  <c r="X52" i="23" s="1"/>
  <c r="V53" i="23" a="1"/>
  <c r="V53" i="23" s="1"/>
  <c r="T2" i="23" a="1"/>
  <c r="T2" i="23" s="1"/>
  <c r="T3" i="23" a="1"/>
  <c r="T3" i="23" s="1"/>
  <c r="P5" i="23" a="1"/>
  <c r="P5" i="23" s="1"/>
  <c r="L7" i="23" a="1"/>
  <c r="L7" i="23" s="1"/>
  <c r="H9" i="23" a="1"/>
  <c r="H9" i="23" s="1"/>
  <c r="D11" i="23" a="1"/>
  <c r="D11" i="23" s="1"/>
  <c r="X12" i="23" a="1"/>
  <c r="X12" i="23" s="1"/>
  <c r="U13" i="23" a="1"/>
  <c r="U13" i="23" s="1"/>
  <c r="O14" i="23" a="1"/>
  <c r="O14" i="23" s="1"/>
  <c r="AA15" i="23" a="1"/>
  <c r="AA15" i="23" s="1"/>
  <c r="T16" i="23" a="1"/>
  <c r="T16" i="23" s="1"/>
  <c r="K17" i="23" a="1"/>
  <c r="K17" i="23" s="1"/>
  <c r="Q18" i="23" a="1"/>
  <c r="Q18" i="23" s="1"/>
  <c r="G19" i="23" a="1"/>
  <c r="G19" i="23" s="1"/>
  <c r="Y19" i="23" a="1"/>
  <c r="Y19" i="23" s="1"/>
  <c r="Q20" i="23" a="1"/>
  <c r="Q20" i="23" s="1"/>
  <c r="I21" i="23" a="1"/>
  <c r="I21" i="23" s="1"/>
  <c r="Z21" i="23" a="1"/>
  <c r="Z21" i="23" s="1"/>
  <c r="Q22" i="23" a="1"/>
  <c r="Q22" i="23" s="1"/>
  <c r="H23" i="23" a="1"/>
  <c r="H23" i="23" s="1"/>
  <c r="W23" i="23" a="1"/>
  <c r="W23" i="23" s="1"/>
  <c r="K24" i="23" a="1"/>
  <c r="K24" i="23" s="1"/>
  <c r="AC24" i="23" a="1"/>
  <c r="AC24" i="23" s="1"/>
  <c r="S25" i="23" a="1"/>
  <c r="S25" i="23" s="1"/>
  <c r="D27" i="23" a="1"/>
  <c r="D27" i="23" s="1"/>
  <c r="V27" i="23" a="1"/>
  <c r="V27" i="23" s="1"/>
  <c r="K28" i="23" a="1"/>
  <c r="K28" i="23" s="1"/>
  <c r="AC28" i="23" a="1"/>
  <c r="AC28" i="23" s="1"/>
  <c r="U29" i="23" a="1"/>
  <c r="U29" i="23" s="1"/>
  <c r="M30" i="23" a="1"/>
  <c r="M30" i="23" s="1"/>
  <c r="F31" i="23" a="1"/>
  <c r="F31" i="23" s="1"/>
  <c r="N32" i="23" a="1"/>
  <c r="N32" i="23" s="1"/>
  <c r="E33" i="23" a="1"/>
  <c r="E33" i="23" s="1"/>
  <c r="W33" i="23" a="1"/>
  <c r="W33" i="23" s="1"/>
  <c r="P34" i="23" a="1"/>
  <c r="P34" i="23" s="1"/>
  <c r="Y35" i="23" a="1"/>
  <c r="Y35" i="23" s="1"/>
  <c r="P36" i="23" a="1"/>
  <c r="P36" i="23" s="1"/>
  <c r="I37" i="23" a="1"/>
  <c r="I37" i="23" s="1"/>
  <c r="R38" i="23" a="1"/>
  <c r="R38" i="23" s="1"/>
  <c r="I39" i="23" a="1"/>
  <c r="I39" i="23" s="1"/>
  <c r="F40" i="23" a="1"/>
  <c r="F40" i="23" s="1"/>
  <c r="AB40" i="23" a="1"/>
  <c r="AB40" i="23" s="1"/>
  <c r="Y41" i="23" a="1"/>
  <c r="Y41" i="23" s="1"/>
  <c r="T42" i="23" a="1"/>
  <c r="T42" i="23" s="1"/>
  <c r="P43" i="23" a="1"/>
  <c r="P43" i="23" s="1"/>
  <c r="J44" i="23" a="1"/>
  <c r="J44" i="23" s="1"/>
  <c r="AC45" i="23" a="1"/>
  <c r="AC45" i="23" s="1"/>
  <c r="X46" i="23" a="1"/>
  <c r="X46" i="23" s="1"/>
  <c r="U47" i="23" a="1"/>
  <c r="U47" i="23" s="1"/>
  <c r="Q48" i="23" a="1"/>
  <c r="Q48" i="23" s="1"/>
  <c r="M49" i="23" a="1"/>
  <c r="M49" i="23" s="1"/>
  <c r="J50" i="23" a="1"/>
  <c r="J50" i="23" s="1"/>
  <c r="E51" i="23" a="1"/>
  <c r="E51" i="23" s="1"/>
  <c r="AC51" i="23" a="1"/>
  <c r="AC51" i="23" s="1"/>
  <c r="Y52" i="23" a="1"/>
  <c r="Y52" i="23" s="1"/>
  <c r="W53" i="23" a="1"/>
  <c r="W53" i="23" s="1"/>
  <c r="V2" i="23" a="1"/>
  <c r="V2" i="23" s="1"/>
  <c r="R4" i="23" a="1"/>
  <c r="R4" i="23" s="1"/>
  <c r="N6" i="23" a="1"/>
  <c r="N6" i="23" s="1"/>
  <c r="J8" i="23" a="1"/>
  <c r="J8" i="23" s="1"/>
  <c r="F10" i="23" a="1"/>
  <c r="F10" i="23" s="1"/>
  <c r="AB11" i="23" a="1"/>
  <c r="AB11" i="23" s="1"/>
  <c r="W2" i="23" a="1"/>
  <c r="W2" i="23" s="1"/>
  <c r="U3" i="23" a="1"/>
  <c r="U3" i="23" s="1"/>
  <c r="S4" i="23" a="1"/>
  <c r="S4" i="23" s="1"/>
  <c r="Q5" i="23" a="1"/>
  <c r="Q5" i="23" s="1"/>
  <c r="O6" i="23" a="1"/>
  <c r="O6" i="23" s="1"/>
  <c r="M7" i="23" a="1"/>
  <c r="M7" i="23" s="1"/>
  <c r="K8" i="23" a="1"/>
  <c r="K8" i="23" s="1"/>
  <c r="I9" i="23" a="1"/>
  <c r="I9" i="23" s="1"/>
  <c r="G10" i="23" a="1"/>
  <c r="G10" i="23" s="1"/>
  <c r="E11" i="23" a="1"/>
  <c r="E11" i="23" s="1"/>
  <c r="AC11" i="23" a="1"/>
  <c r="AC11" i="23" s="1"/>
  <c r="Y12" i="23" a="1"/>
  <c r="Y12" i="23" s="1"/>
  <c r="P14" i="23" a="1"/>
  <c r="P14" i="23" s="1"/>
  <c r="I15" i="23" a="1"/>
  <c r="I15" i="23" s="1"/>
  <c r="AB15" i="23" a="1"/>
  <c r="AB15" i="23" s="1"/>
  <c r="U16" i="23" a="1"/>
  <c r="U16" i="23" s="1"/>
  <c r="L17" i="23" a="1"/>
  <c r="L17" i="23" s="1"/>
  <c r="AB17" i="23" a="1"/>
  <c r="AB17" i="23" s="1"/>
  <c r="Z19" i="23" a="1"/>
  <c r="Z19" i="23" s="1"/>
  <c r="J21" i="23" a="1"/>
  <c r="J21" i="23" s="1"/>
  <c r="R22" i="23" a="1"/>
  <c r="R22" i="23" s="1"/>
  <c r="L24" i="23" a="1"/>
  <c r="L24" i="23" s="1"/>
  <c r="D25" i="23" a="1"/>
  <c r="D25" i="23" s="1"/>
  <c r="T25" i="23" a="1"/>
  <c r="T25" i="23" s="1"/>
  <c r="M26" i="23" a="1"/>
  <c r="M26" i="23" s="1"/>
  <c r="L28" i="23" a="1"/>
  <c r="L28" i="23" s="1"/>
  <c r="N30" i="23" a="1"/>
  <c r="N30" i="23" s="1"/>
  <c r="W31" i="23" a="1"/>
  <c r="W31" i="23" s="1"/>
  <c r="F33" i="23" a="1"/>
  <c r="F33" i="23" s="1"/>
  <c r="H35" i="23" a="1"/>
  <c r="H35" i="23" s="1"/>
  <c r="Z35" i="23" a="1"/>
  <c r="Z35" i="23" s="1"/>
  <c r="Q36" i="23" a="1"/>
  <c r="Q36" i="23" s="1"/>
  <c r="J37" i="23" a="1"/>
  <c r="J37" i="23" s="1"/>
  <c r="AA37" i="23" a="1"/>
  <c r="AA37" i="23" s="1"/>
  <c r="J39" i="23" a="1"/>
  <c r="J39" i="23" s="1"/>
  <c r="G40" i="23" a="1"/>
  <c r="G40" i="23" s="1"/>
  <c r="Z41" i="23" a="1"/>
  <c r="Z41" i="23" s="1"/>
  <c r="U42" i="23" a="1"/>
  <c r="U42" i="23" s="1"/>
  <c r="Q43" i="23" a="1"/>
  <c r="Q43" i="23" s="1"/>
  <c r="K44" i="23" a="1"/>
  <c r="K44" i="23" s="1"/>
  <c r="G45" i="23" a="1"/>
  <c r="G45" i="23" s="1"/>
  <c r="D46" i="23" a="1"/>
  <c r="D46" i="23" s="1"/>
  <c r="Y46" i="23" a="1"/>
  <c r="Y46" i="23" s="1"/>
  <c r="V47" i="23" a="1"/>
  <c r="V47" i="23" s="1"/>
  <c r="R48" i="23" a="1"/>
  <c r="R48" i="23" s="1"/>
  <c r="N49" i="23" a="1"/>
  <c r="N49" i="23" s="1"/>
  <c r="K50" i="23" a="1"/>
  <c r="K50" i="23" s="1"/>
  <c r="F51" i="23" a="1"/>
  <c r="F51" i="23" s="1"/>
  <c r="D52" i="23" a="1"/>
  <c r="D52" i="23" s="1"/>
  <c r="Z52" i="23" a="1"/>
  <c r="Z52" i="23" s="1"/>
  <c r="X53" i="23" a="1"/>
  <c r="X53" i="23" s="1"/>
  <c r="V3" i="23" a="1"/>
  <c r="V3" i="23" s="1"/>
  <c r="T4" i="23" a="1"/>
  <c r="T4" i="23" s="1"/>
  <c r="R5" i="23" a="1"/>
  <c r="R5" i="23" s="1"/>
  <c r="P6" i="23" a="1"/>
  <c r="P6" i="23" s="1"/>
  <c r="N7" i="23" a="1"/>
  <c r="N7" i="23" s="1"/>
  <c r="L8" i="23" a="1"/>
  <c r="L8" i="23" s="1"/>
  <c r="J9" i="23" a="1"/>
  <c r="J9" i="23" s="1"/>
  <c r="H10" i="23" a="1"/>
  <c r="H10" i="23" s="1"/>
  <c r="F11" i="23" a="1"/>
  <c r="F11" i="23" s="1"/>
  <c r="D12" i="23" a="1"/>
  <c r="D12" i="23" s="1"/>
  <c r="Z12" i="23" a="1"/>
  <c r="Z12" i="23" s="1"/>
  <c r="V13" i="23" a="1"/>
  <c r="V13" i="23" s="1"/>
  <c r="Q14" i="23" a="1"/>
  <c r="Q14" i="23" s="1"/>
  <c r="J15" i="23" a="1"/>
  <c r="J15" i="23" s="1"/>
  <c r="AC15" i="23" a="1"/>
  <c r="AC15" i="23" s="1"/>
  <c r="V16" i="23" a="1"/>
  <c r="V16" i="23" s="1"/>
  <c r="R18" i="23" a="1"/>
  <c r="R18" i="23" s="1"/>
  <c r="H19" i="23" a="1"/>
  <c r="H19" i="23" s="1"/>
  <c r="R20" i="23" a="1"/>
  <c r="R20" i="23" s="1"/>
  <c r="AA21" i="23" a="1"/>
  <c r="AA21" i="23" s="1"/>
  <c r="S22" i="23" a="1"/>
  <c r="S22" i="23" s="1"/>
  <c r="I23" i="23" a="1"/>
  <c r="I23" i="23" s="1"/>
  <c r="X23" i="23" a="1"/>
  <c r="X23" i="23" s="1"/>
  <c r="M24" i="23" a="1"/>
  <c r="M24" i="23" s="1"/>
  <c r="N26" i="23" a="1"/>
  <c r="N26" i="23" s="1"/>
  <c r="E27" i="23" a="1"/>
  <c r="E27" i="23" s="1"/>
  <c r="W27" i="23" a="1"/>
  <c r="W27" i="23" s="1"/>
  <c r="M28" i="23" a="1"/>
  <c r="M28" i="23" s="1"/>
  <c r="D29" i="23" a="1"/>
  <c r="D29" i="23" s="1"/>
  <c r="V29" i="23" a="1"/>
  <c r="V29" i="23" s="1"/>
  <c r="O30" i="23" a="1"/>
  <c r="O30" i="23" s="1"/>
  <c r="G31" i="23" a="1"/>
  <c r="G31" i="23" s="1"/>
  <c r="O32" i="23" a="1"/>
  <c r="O32" i="23" s="1"/>
  <c r="G33" i="23" a="1"/>
  <c r="G33" i="23" s="1"/>
  <c r="X33" i="23" a="1"/>
  <c r="X33" i="23" s="1"/>
  <c r="Q34" i="23" a="1"/>
  <c r="Q34" i="23" s="1"/>
  <c r="R36" i="23" a="1"/>
  <c r="R36" i="23" s="1"/>
  <c r="AB37" i="23" a="1"/>
  <c r="AB37" i="23" s="1"/>
  <c r="S38" i="23" a="1"/>
  <c r="S38" i="23" s="1"/>
  <c r="K39" i="23" a="1"/>
  <c r="K39" i="23" s="1"/>
  <c r="H40" i="23" a="1"/>
  <c r="H40" i="23" s="1"/>
  <c r="AC40" i="23" a="1"/>
  <c r="AC40" i="23" s="1"/>
  <c r="V42" i="23" a="1"/>
  <c r="V42" i="23" s="1"/>
  <c r="R43" i="23" a="1"/>
  <c r="R43" i="23" s="1"/>
  <c r="L44" i="23" a="1"/>
  <c r="L44" i="23" s="1"/>
  <c r="H45" i="23" a="1"/>
  <c r="H45" i="23" s="1"/>
  <c r="E46" i="23" a="1"/>
  <c r="E46" i="23" s="1"/>
  <c r="Z46" i="23" a="1"/>
  <c r="Z46" i="23" s="1"/>
  <c r="W47" i="23" a="1"/>
  <c r="W47" i="23" s="1"/>
  <c r="S48" i="23" a="1"/>
  <c r="S48" i="23" s="1"/>
  <c r="O49" i="23" a="1"/>
  <c r="O49" i="23" s="1"/>
  <c r="L50" i="23" a="1"/>
  <c r="L50" i="23" s="1"/>
  <c r="G51" i="23" a="1"/>
  <c r="G51" i="23" s="1"/>
  <c r="AA52" i="23" a="1"/>
  <c r="AA52" i="23" s="1"/>
  <c r="Y53" i="23" a="1"/>
  <c r="Y53" i="23" s="1"/>
  <c r="Q6" i="23" a="1"/>
  <c r="Q6" i="23" s="1"/>
  <c r="O7" i="23" a="1"/>
  <c r="O7" i="23" s="1"/>
  <c r="M8" i="23" a="1"/>
  <c r="M8" i="23" s="1"/>
  <c r="K9" i="23" a="1"/>
  <c r="K9" i="23" s="1"/>
  <c r="I10" i="23" a="1"/>
  <c r="I10" i="23" s="1"/>
  <c r="G11" i="23" a="1"/>
  <c r="G11" i="23" s="1"/>
  <c r="E12" i="23" a="1"/>
  <c r="E12" i="23" s="1"/>
  <c r="AA12" i="23" a="1"/>
  <c r="AA12" i="23" s="1"/>
  <c r="W13" i="23" a="1"/>
  <c r="W13" i="23" s="1"/>
  <c r="R14" i="23" a="1"/>
  <c r="R14" i="23" s="1"/>
  <c r="K15" i="23" a="1"/>
  <c r="K15" i="23" s="1"/>
  <c r="D16" i="23" a="1"/>
  <c r="D16" i="23" s="1"/>
  <c r="M17" i="23" a="1"/>
  <c r="M17" i="23" s="1"/>
  <c r="AC17" i="23" a="1"/>
  <c r="AC17" i="23" s="1"/>
  <c r="S18" i="23" a="1"/>
  <c r="S18" i="23" s="1"/>
  <c r="I19" i="23" a="1"/>
  <c r="I19" i="23" s="1"/>
  <c r="AA19" i="23" a="1"/>
  <c r="AA19" i="23" s="1"/>
  <c r="S20" i="23" a="1"/>
  <c r="S20" i="23" s="1"/>
  <c r="K21" i="23" a="1"/>
  <c r="K21" i="23" s="1"/>
  <c r="AB21" i="23" a="1"/>
  <c r="AB21" i="23" s="1"/>
  <c r="T22" i="23" a="1"/>
  <c r="T22" i="23" s="1"/>
  <c r="J23" i="23" a="1"/>
  <c r="J23" i="23" s="1"/>
  <c r="N24" i="23" a="1"/>
  <c r="N24" i="23" s="1"/>
  <c r="E25" i="23" a="1"/>
  <c r="E25" i="23" s="1"/>
  <c r="U25" i="23" a="1"/>
  <c r="U25" i="23" s="1"/>
  <c r="F27" i="23" a="1"/>
  <c r="F27" i="23" s="1"/>
  <c r="N28" i="23" a="1"/>
  <c r="N28" i="23" s="1"/>
  <c r="E29" i="23" a="1"/>
  <c r="E29" i="23" s="1"/>
  <c r="W29" i="23" a="1"/>
  <c r="W29" i="23" s="1"/>
  <c r="P30" i="23" a="1"/>
  <c r="P30" i="23" s="1"/>
  <c r="H31" i="23" a="1"/>
  <c r="H31" i="23" s="1"/>
  <c r="X31" i="23" a="1"/>
  <c r="X31" i="23" s="1"/>
  <c r="H33" i="23" a="1"/>
  <c r="H33" i="23" s="1"/>
  <c r="Y33" i="23" a="1"/>
  <c r="Y33" i="23" s="1"/>
  <c r="I35" i="23" a="1"/>
  <c r="I35" i="23" s="1"/>
  <c r="AA35" i="23" a="1"/>
  <c r="AA35" i="23" s="1"/>
  <c r="S36" i="23" a="1"/>
  <c r="S36" i="23" s="1"/>
  <c r="K37" i="23" a="1"/>
  <c r="K37" i="23" s="1"/>
  <c r="T38" i="23" a="1"/>
  <c r="T38" i="23" s="1"/>
  <c r="L39" i="23" a="1"/>
  <c r="L39" i="23" s="1"/>
  <c r="I40" i="23" a="1"/>
  <c r="I40" i="23" s="1"/>
  <c r="D41" i="23" a="1"/>
  <c r="D41" i="23" s="1"/>
  <c r="AA41" i="23" a="1"/>
  <c r="AA41" i="23" s="1"/>
  <c r="W42" i="23" a="1"/>
  <c r="W42" i="23" s="1"/>
  <c r="M44" i="23" a="1"/>
  <c r="M44" i="23" s="1"/>
  <c r="I45" i="23" a="1"/>
  <c r="I45" i="23" s="1"/>
  <c r="F46" i="23" a="1"/>
  <c r="F46" i="23" s="1"/>
  <c r="AA46" i="23" a="1"/>
  <c r="AA46" i="23" s="1"/>
  <c r="X47" i="23" a="1"/>
  <c r="X47" i="23" s="1"/>
  <c r="T48" i="23" a="1"/>
  <c r="T48" i="23" s="1"/>
  <c r="M50" i="23" a="1"/>
  <c r="M50" i="23" s="1"/>
  <c r="H51" i="23" a="1"/>
  <c r="H51" i="23" s="1"/>
  <c r="E52" i="23" a="1"/>
  <c r="E52" i="23" s="1"/>
  <c r="AB52" i="23" a="1"/>
  <c r="AB52" i="23" s="1"/>
  <c r="Z53" i="23" a="1"/>
  <c r="Z53" i="23" s="1"/>
  <c r="S5" i="23" a="1"/>
  <c r="S5" i="23" s="1"/>
  <c r="Z2" i="23" a="1"/>
  <c r="Z2" i="23" s="1"/>
  <c r="X3" i="23" a="1"/>
  <c r="X3" i="23" s="1"/>
  <c r="V4" i="23" a="1"/>
  <c r="V4" i="23" s="1"/>
  <c r="T5" i="23" a="1"/>
  <c r="T5" i="23" s="1"/>
  <c r="R6" i="23" a="1"/>
  <c r="R6" i="23" s="1"/>
  <c r="P7" i="23" a="1"/>
  <c r="P7" i="23" s="1"/>
  <c r="N8" i="23" a="1"/>
  <c r="N8" i="23" s="1"/>
  <c r="L9" i="23" a="1"/>
  <c r="L9" i="23" s="1"/>
  <c r="J10" i="23" a="1"/>
  <c r="J10" i="23" s="1"/>
  <c r="H11" i="23" a="1"/>
  <c r="H11" i="23" s="1"/>
  <c r="F12" i="23" a="1"/>
  <c r="F12" i="23" s="1"/>
  <c r="AB12" i="23" a="1"/>
  <c r="AB12" i="23" s="1"/>
  <c r="X13" i="23" a="1"/>
  <c r="X13" i="23" s="1"/>
  <c r="S14" i="23" a="1"/>
  <c r="S14" i="23" s="1"/>
  <c r="L15" i="23" a="1"/>
  <c r="L15" i="23" s="1"/>
  <c r="E16" i="23" a="1"/>
  <c r="E16" i="23" s="1"/>
  <c r="W16" i="23" a="1"/>
  <c r="W16" i="23" s="1"/>
  <c r="N17" i="23" a="1"/>
  <c r="N17" i="23" s="1"/>
  <c r="D18" i="23" a="1"/>
  <c r="D18" i="23" s="1"/>
  <c r="J19" i="23" a="1"/>
  <c r="J19" i="23" s="1"/>
  <c r="AB19" i="23" a="1"/>
  <c r="AB19" i="23" s="1"/>
  <c r="T20" i="23" a="1"/>
  <c r="T20" i="23" s="1"/>
  <c r="AC21" i="23" a="1"/>
  <c r="AC21" i="23" s="1"/>
  <c r="Y23" i="23" a="1"/>
  <c r="Y23" i="23" s="1"/>
  <c r="V25" i="23" a="1"/>
  <c r="V25" i="23" s="1"/>
  <c r="O26" i="23" a="1"/>
  <c r="O26" i="23" s="1"/>
  <c r="G27" i="23" a="1"/>
  <c r="G27" i="23" s="1"/>
  <c r="X27" i="23" a="1"/>
  <c r="X27" i="23" s="1"/>
  <c r="O28" i="23" a="1"/>
  <c r="O28" i="23" s="1"/>
  <c r="F29" i="23" a="1"/>
  <c r="F29" i="23" s="1"/>
  <c r="X29" i="23" a="1"/>
  <c r="X29" i="23" s="1"/>
  <c r="P32" i="23" a="1"/>
  <c r="P32" i="23" s="1"/>
  <c r="I33" i="23" a="1"/>
  <c r="I33" i="23" s="1"/>
  <c r="R34" i="23" a="1"/>
  <c r="R34" i="23" s="1"/>
  <c r="AB35" i="23" a="1"/>
  <c r="AB35" i="23" s="1"/>
  <c r="T36" i="23" a="1"/>
  <c r="T36" i="23" s="1"/>
  <c r="AC37" i="23" a="1"/>
  <c r="AC37" i="23" s="1"/>
  <c r="U38" i="23" a="1"/>
  <c r="U38" i="23" s="1"/>
  <c r="M39" i="23" a="1"/>
  <c r="M39" i="23" s="1"/>
  <c r="J40" i="23" a="1"/>
  <c r="J40" i="23" s="1"/>
  <c r="E41" i="23" a="1"/>
  <c r="E41" i="23" s="1"/>
  <c r="AB41" i="23" a="1"/>
  <c r="AB41" i="23" s="1"/>
  <c r="X42" i="23" a="1"/>
  <c r="X42" i="23" s="1"/>
  <c r="S43" i="23" a="1"/>
  <c r="S43" i="23" s="1"/>
  <c r="N44" i="23" a="1"/>
  <c r="N44" i="23" s="1"/>
  <c r="J45" i="23" a="1"/>
  <c r="J45" i="23" s="1"/>
  <c r="G46" i="23" a="1"/>
  <c r="G46" i="23" s="1"/>
  <c r="AB46" i="23" a="1"/>
  <c r="AB46" i="23" s="1"/>
  <c r="Y47" i="23" a="1"/>
  <c r="Y47" i="23" s="1"/>
  <c r="U48" i="23" a="1"/>
  <c r="U48" i="23" s="1"/>
  <c r="P49" i="23" a="1"/>
  <c r="P49" i="23" s="1"/>
  <c r="N50" i="23" a="1"/>
  <c r="N50" i="23" s="1"/>
  <c r="I51" i="23" a="1"/>
  <c r="I51" i="23" s="1"/>
  <c r="F52" i="23" a="1"/>
  <c r="F52" i="23" s="1"/>
  <c r="AC52" i="23" a="1"/>
  <c r="AC52" i="23" s="1"/>
  <c r="W4" i="23" a="1"/>
  <c r="W4" i="23" s="1"/>
  <c r="U5" i="23" a="1"/>
  <c r="U5" i="23" s="1"/>
  <c r="S6" i="23" a="1"/>
  <c r="S6" i="23" s="1"/>
  <c r="Q7" i="23" a="1"/>
  <c r="Q7" i="23" s="1"/>
  <c r="O8" i="23" a="1"/>
  <c r="O8" i="23" s="1"/>
  <c r="M9" i="23" a="1"/>
  <c r="M9" i="23" s="1"/>
  <c r="K10" i="23" a="1"/>
  <c r="K10" i="23" s="1"/>
  <c r="I11" i="23" a="1"/>
  <c r="I11" i="23" s="1"/>
  <c r="G12" i="23" a="1"/>
  <c r="G12" i="23" s="1"/>
  <c r="AC12" i="23" a="1"/>
  <c r="AC12" i="23" s="1"/>
  <c r="Y13" i="23" a="1"/>
  <c r="Y13" i="23" s="1"/>
  <c r="O17" i="23" a="1"/>
  <c r="O17" i="23" s="1"/>
  <c r="E18" i="23" a="1"/>
  <c r="E18" i="23" s="1"/>
  <c r="T18" i="23" a="1"/>
  <c r="T18" i="23" s="1"/>
  <c r="K19" i="23" a="1"/>
  <c r="K19" i="23" s="1"/>
  <c r="AC19" i="23" a="1"/>
  <c r="AC19" i="23" s="1"/>
  <c r="U20" i="23" a="1"/>
  <c r="U20" i="23" s="1"/>
  <c r="L21" i="23" a="1"/>
  <c r="L21" i="23" s="1"/>
  <c r="D22" i="23" a="1"/>
  <c r="D22" i="23" s="1"/>
  <c r="U22" i="23" a="1"/>
  <c r="U22" i="23" s="1"/>
  <c r="K23" i="23" a="1"/>
  <c r="K23" i="23" s="1"/>
  <c r="Z23" i="23" a="1"/>
  <c r="Z23" i="23" s="1"/>
  <c r="O24" i="23" a="1"/>
  <c r="O24" i="23" s="1"/>
  <c r="F25" i="23" a="1"/>
  <c r="F25" i="23" s="1"/>
  <c r="W25" i="23" a="1"/>
  <c r="W25" i="23" s="1"/>
  <c r="P26" i="23" a="1"/>
  <c r="P26" i="23" s="1"/>
  <c r="H27" i="23" a="1"/>
  <c r="H27" i="23" s="1"/>
  <c r="P28" i="23" a="1"/>
  <c r="P28" i="23" s="1"/>
  <c r="Y29" i="23" a="1"/>
  <c r="Y29" i="23" s="1"/>
  <c r="Q30" i="23" a="1"/>
  <c r="Q30" i="23" s="1"/>
  <c r="I31" i="23" a="1"/>
  <c r="I31" i="23" s="1"/>
  <c r="Y31" i="23" a="1"/>
  <c r="Y31" i="23" s="1"/>
  <c r="J33" i="23" a="1"/>
  <c r="J33" i="23" s="1"/>
  <c r="Z33" i="23" a="1"/>
  <c r="Z33" i="23" s="1"/>
  <c r="J35" i="23" a="1"/>
  <c r="J35" i="23" s="1"/>
  <c r="AC35" i="23" a="1"/>
  <c r="AC35" i="23" s="1"/>
  <c r="U36" i="23" a="1"/>
  <c r="U36" i="23" s="1"/>
  <c r="L37" i="23" a="1"/>
  <c r="L37" i="23" s="1"/>
  <c r="D38" i="23" a="1"/>
  <c r="D38" i="23" s="1"/>
  <c r="V38" i="23" a="1"/>
  <c r="V38" i="23" s="1"/>
  <c r="N39" i="23" a="1"/>
  <c r="N39" i="23" s="1"/>
  <c r="F41" i="23" a="1"/>
  <c r="F41" i="23" s="1"/>
  <c r="AC41" i="23" a="1"/>
  <c r="AC41" i="23" s="1"/>
  <c r="T43" i="23" a="1"/>
  <c r="T43" i="23" s="1"/>
  <c r="O44" i="23" a="1"/>
  <c r="O44" i="23" s="1"/>
  <c r="K45" i="23" a="1"/>
  <c r="K45" i="23" s="1"/>
  <c r="H46" i="23" a="1"/>
  <c r="H46" i="23" s="1"/>
  <c r="AC46" i="23" a="1"/>
  <c r="AC46" i="23" s="1"/>
  <c r="Z47" i="23" a="1"/>
  <c r="Z47" i="23" s="1"/>
  <c r="V48" i="23" a="1"/>
  <c r="V48" i="23" s="1"/>
  <c r="Q49" i="23" a="1"/>
  <c r="Q49" i="23" s="1"/>
  <c r="J51" i="23" a="1"/>
  <c r="J51" i="23" s="1"/>
  <c r="G52" i="23" a="1"/>
  <c r="G52" i="23" s="1"/>
  <c r="D53" i="23" a="1"/>
  <c r="D53" i="23" s="1"/>
  <c r="AA53" i="23" a="1"/>
  <c r="AA53" i="23" s="1"/>
  <c r="X4" i="23" a="1"/>
  <c r="X4" i="23" s="1"/>
  <c r="T6" i="23" a="1"/>
  <c r="T6" i="23" s="1"/>
  <c r="R7" i="23" a="1"/>
  <c r="R7" i="23" s="1"/>
  <c r="P8" i="23" a="1"/>
  <c r="P8" i="23" s="1"/>
  <c r="N9" i="23" a="1"/>
  <c r="N9" i="23" s="1"/>
  <c r="L10" i="23" a="1"/>
  <c r="L10" i="23" s="1"/>
  <c r="J11" i="23" a="1"/>
  <c r="J11" i="23" s="1"/>
  <c r="H12" i="23" a="1"/>
  <c r="H12" i="23" s="1"/>
  <c r="D13" i="23" a="1"/>
  <c r="D13" i="23" s="1"/>
  <c r="Z13" i="23" a="1"/>
  <c r="Z13" i="23" s="1"/>
  <c r="T14" i="23" a="1"/>
  <c r="T14" i="23" s="1"/>
  <c r="M15" i="23" a="1"/>
  <c r="M15" i="23" s="1"/>
  <c r="F16" i="23" a="1"/>
  <c r="F16" i="23" s="1"/>
  <c r="X16" i="23" a="1"/>
  <c r="X16" i="23" s="1"/>
  <c r="F18" i="23" a="1"/>
  <c r="F18" i="23" s="1"/>
  <c r="L19" i="23" a="1"/>
  <c r="L19" i="23" s="1"/>
  <c r="V20" i="23" a="1"/>
  <c r="V20" i="23" s="1"/>
  <c r="M21" i="23" a="1"/>
  <c r="M21" i="23" s="1"/>
  <c r="E22" i="23" a="1"/>
  <c r="E22" i="23" s="1"/>
  <c r="AA23" i="23" a="1"/>
  <c r="AA23" i="23" s="1"/>
  <c r="P24" i="23" a="1"/>
  <c r="P24" i="23" s="1"/>
  <c r="G25" i="23" a="1"/>
  <c r="G25" i="23" s="1"/>
  <c r="X25" i="23" a="1"/>
  <c r="X25" i="23" s="1"/>
  <c r="Q26" i="23" a="1"/>
  <c r="Q26" i="23" s="1"/>
  <c r="I27" i="23" a="1"/>
  <c r="I27" i="23" s="1"/>
  <c r="Y27" i="23" a="1"/>
  <c r="Y27" i="23" s="1"/>
  <c r="G29" i="23" a="1"/>
  <c r="G29" i="23" s="1"/>
  <c r="Z29" i="23" a="1"/>
  <c r="Z29" i="23" s="1"/>
  <c r="R30" i="23" a="1"/>
  <c r="R30" i="23" s="1"/>
  <c r="J31" i="23" a="1"/>
  <c r="J31" i="23" s="1"/>
  <c r="Z31" i="23" a="1"/>
  <c r="Z31" i="23" s="1"/>
  <c r="Q32" i="23" a="1"/>
  <c r="Q32" i="23" s="1"/>
  <c r="K33" i="23" a="1"/>
  <c r="K33" i="23" s="1"/>
  <c r="AA33" i="23" a="1"/>
  <c r="AA33" i="23" s="1"/>
  <c r="S34" i="23" a="1"/>
  <c r="S34" i="23" s="1"/>
  <c r="K35" i="23" a="1"/>
  <c r="K35" i="23" s="1"/>
  <c r="D36" i="23" a="1"/>
  <c r="D36" i="23" s="1"/>
  <c r="V36" i="23" a="1"/>
  <c r="V36" i="23" s="1"/>
  <c r="W38" i="23" a="1"/>
  <c r="W38" i="23" s="1"/>
  <c r="O39" i="23" a="1"/>
  <c r="O39" i="23" s="1"/>
  <c r="K40" i="23" a="1"/>
  <c r="K40" i="23" s="1"/>
  <c r="G41" i="23" a="1"/>
  <c r="G41" i="23" s="1"/>
  <c r="D42" i="23" a="1"/>
  <c r="D42" i="23" s="1"/>
  <c r="Y42" i="23" a="1"/>
  <c r="Y42" i="23" s="1"/>
  <c r="U43" i="23" a="1"/>
  <c r="U43" i="23" s="1"/>
  <c r="P44" i="23" a="1"/>
  <c r="P44" i="23" s="1"/>
  <c r="I46" i="23" a="1"/>
  <c r="I46" i="23" s="1"/>
  <c r="D47" i="23" a="1"/>
  <c r="D47" i="23" s="1"/>
  <c r="W48" i="23" a="1"/>
  <c r="W48" i="23" s="1"/>
  <c r="R49" i="23" a="1"/>
  <c r="R49" i="23" s="1"/>
  <c r="O50" i="23" a="1"/>
  <c r="O50" i="23" s="1"/>
  <c r="K51" i="23" a="1"/>
  <c r="K51" i="23" s="1"/>
  <c r="H52" i="23" a="1"/>
  <c r="H52" i="23" s="1"/>
  <c r="E53" i="23" a="1"/>
  <c r="E53" i="23" s="1"/>
  <c r="AB53" i="23" a="1"/>
  <c r="AB53" i="23" s="1"/>
  <c r="Z3" i="23" a="1"/>
  <c r="Z3" i="23" s="1"/>
  <c r="V5" i="23" a="1"/>
  <c r="V5" i="23" s="1"/>
  <c r="F2" i="23" a="1"/>
  <c r="F2" i="23" s="1"/>
  <c r="AC2" i="23" a="1"/>
  <c r="AC2" i="23" s="1"/>
  <c r="AA3" i="23" a="1"/>
  <c r="AA3" i="23" s="1"/>
  <c r="Y4" i="23" a="1"/>
  <c r="Y4" i="23" s="1"/>
  <c r="W5" i="23" a="1"/>
  <c r="W5" i="23" s="1"/>
  <c r="U6" i="23" a="1"/>
  <c r="U6" i="23" s="1"/>
  <c r="S7" i="23" a="1"/>
  <c r="S7" i="23" s="1"/>
  <c r="Q8" i="23" a="1"/>
  <c r="Q8" i="23" s="1"/>
  <c r="O9" i="23" a="1"/>
  <c r="O9" i="23" s="1"/>
  <c r="M10" i="23" a="1"/>
  <c r="M10" i="23" s="1"/>
  <c r="K11" i="23" a="1"/>
  <c r="K11" i="23" s="1"/>
  <c r="I12" i="23" a="1"/>
  <c r="I12" i="23" s="1"/>
  <c r="E13" i="23" a="1"/>
  <c r="E13" i="23" s="1"/>
  <c r="AA13" i="23" a="1"/>
  <c r="AA13" i="23" s="1"/>
  <c r="N15" i="23" a="1"/>
  <c r="N15" i="23" s="1"/>
  <c r="G16" i="23" a="1"/>
  <c r="G16" i="23" s="1"/>
  <c r="Y16" i="23" a="1"/>
  <c r="Y16" i="23" s="1"/>
  <c r="P17" i="23" a="1"/>
  <c r="P17" i="23" s="1"/>
  <c r="U18" i="23" a="1"/>
  <c r="U18" i="23" s="1"/>
  <c r="D20" i="23" a="1"/>
  <c r="D20" i="23" s="1"/>
  <c r="W20" i="23" a="1"/>
  <c r="W20" i="23" s="1"/>
  <c r="F22" i="23" a="1"/>
  <c r="F22" i="23" s="1"/>
  <c r="V22" i="23" a="1"/>
  <c r="V22" i="23" s="1"/>
  <c r="L23" i="23" a="1"/>
  <c r="L23" i="23" s="1"/>
  <c r="Q24" i="23" a="1"/>
  <c r="Q24" i="23" s="1"/>
  <c r="Y25" i="23" a="1"/>
  <c r="Y25" i="23" s="1"/>
  <c r="J27" i="23" a="1"/>
  <c r="J27" i="23" s="1"/>
  <c r="Q28" i="23" a="1"/>
  <c r="Q28" i="23" s="1"/>
  <c r="H29" i="23" a="1"/>
  <c r="H29" i="23" s="1"/>
  <c r="K31" i="23" a="1"/>
  <c r="K31" i="23" s="1"/>
  <c r="R32" i="23" a="1"/>
  <c r="R32" i="23" s="1"/>
  <c r="AB33" i="23" a="1"/>
  <c r="AB33" i="23" s="1"/>
  <c r="T34" i="23" a="1"/>
  <c r="T34" i="23" s="1"/>
  <c r="L35" i="23" a="1"/>
  <c r="L35" i="23" s="1"/>
  <c r="M37" i="23" a="1"/>
  <c r="M37" i="23" s="1"/>
  <c r="E38" i="23" a="1"/>
  <c r="E38" i="23" s="1"/>
  <c r="X38" i="23" a="1"/>
  <c r="X38" i="23" s="1"/>
  <c r="P39" i="23" a="1"/>
  <c r="P39" i="23" s="1"/>
  <c r="L40" i="23" a="1"/>
  <c r="L40" i="23" s="1"/>
  <c r="H41" i="23" a="1"/>
  <c r="H41" i="23" s="1"/>
  <c r="E42" i="23" a="1"/>
  <c r="E42" i="23" s="1"/>
  <c r="Z42" i="23" a="1"/>
  <c r="Z42" i="23" s="1"/>
  <c r="V43" i="23" a="1"/>
  <c r="V43" i="23" s="1"/>
  <c r="Q44" i="23" a="1"/>
  <c r="Q44" i="23" s="1"/>
  <c r="L45" i="23" a="1"/>
  <c r="L45" i="23" s="1"/>
  <c r="J46" i="23" a="1"/>
  <c r="J46" i="23" s="1"/>
  <c r="E47" i="23" a="1"/>
  <c r="E47" i="23" s="1"/>
  <c r="AA47" i="23" a="1"/>
  <c r="AA47" i="23" s="1"/>
  <c r="X48" i="23" a="1"/>
  <c r="X48" i="23" s="1"/>
  <c r="S49" i="23" a="1"/>
  <c r="S49" i="23" s="1"/>
  <c r="P50" i="23" a="1"/>
  <c r="P50" i="23" s="1"/>
  <c r="L51" i="23" a="1"/>
  <c r="L51" i="23" s="1"/>
  <c r="I52" i="23" a="1"/>
  <c r="I52" i="23" s="1"/>
  <c r="F53" i="23" a="1"/>
  <c r="F53" i="23" s="1"/>
  <c r="AD3" i="23"/>
  <c r="F28" i="10"/>
  <c r="B31" i="11" s="1"/>
  <c r="O6" i="10"/>
  <c r="C28" i="10"/>
  <c r="R5" i="10"/>
  <c r="Q5" i="10"/>
  <c r="P3" i="10"/>
  <c r="P10" i="10" s="1"/>
  <c r="N6" i="10"/>
  <c r="B28" i="10"/>
  <c r="D28" i="10"/>
  <c r="E28" i="10"/>
  <c r="N5" i="10"/>
  <c r="M5" i="10"/>
  <c r="AD54" i="13"/>
  <c r="A28" i="10"/>
  <c r="M7" i="10" s="1"/>
  <c r="AC54" i="21"/>
  <c r="A31" i="11"/>
  <c r="F56" i="18"/>
  <c r="G56" i="18" s="1"/>
  <c r="F35" i="18"/>
  <c r="G35" i="18" s="1"/>
  <c r="F45" i="18"/>
  <c r="G45" i="18" s="1"/>
  <c r="F13" i="18"/>
  <c r="G13" i="18" s="1"/>
  <c r="N3" i="10"/>
  <c r="N10" i="10" s="1"/>
  <c r="R3" i="10"/>
  <c r="R10" i="10" s="1"/>
  <c r="Q6" i="10"/>
  <c r="Q10" i="10" s="1"/>
  <c r="M3" i="10"/>
  <c r="M10" i="10" s="1"/>
  <c r="O3" i="10"/>
  <c r="AD7" i="23" l="1"/>
  <c r="AD25" i="23"/>
  <c r="AD4" i="23"/>
  <c r="S57" i="23"/>
  <c r="S54" i="23"/>
  <c r="J57" i="23"/>
  <c r="J54" i="23"/>
  <c r="Q57" i="23"/>
  <c r="Q54" i="23"/>
  <c r="Q56" i="23" s="1"/>
  <c r="T57" i="23"/>
  <c r="T54" i="23"/>
  <c r="T56" i="23" s="1"/>
  <c r="M57" i="23"/>
  <c r="M54" i="23"/>
  <c r="W56" i="23"/>
  <c r="S56" i="23"/>
  <c r="M56" i="23"/>
  <c r="U57" i="23"/>
  <c r="U54" i="23"/>
  <c r="U56" i="23" s="1"/>
  <c r="L57" i="23"/>
  <c r="L54" i="23"/>
  <c r="L56" i="23" s="1"/>
  <c r="AC57" i="23"/>
  <c r="AC54" i="23"/>
  <c r="AC56" i="23" s="1"/>
  <c r="AB54" i="23"/>
  <c r="AB56" i="23" s="1"/>
  <c r="AB57" i="23"/>
  <c r="W57" i="23"/>
  <c r="W54" i="23"/>
  <c r="AA54" i="23"/>
  <c r="AA56" i="23" s="1"/>
  <c r="AA57" i="23"/>
  <c r="Y54" i="23"/>
  <c r="Y56" i="23" s="1"/>
  <c r="Y57" i="23"/>
  <c r="X54" i="23"/>
  <c r="X56" i="23" s="1"/>
  <c r="X57" i="23"/>
  <c r="K57" i="23"/>
  <c r="K54" i="23"/>
  <c r="K56" i="23" s="1"/>
  <c r="H57" i="23"/>
  <c r="H54" i="23"/>
  <c r="H56" i="23" s="1"/>
  <c r="R57" i="23"/>
  <c r="R54" i="23"/>
  <c r="R56" i="23" s="1"/>
  <c r="N57" i="23"/>
  <c r="N54" i="23"/>
  <c r="N56" i="23" s="1"/>
  <c r="P57" i="23"/>
  <c r="P54" i="23"/>
  <c r="P56" i="23" s="1"/>
  <c r="O57" i="23"/>
  <c r="O54" i="23"/>
  <c r="O56" i="23" s="1"/>
  <c r="Z54" i="23"/>
  <c r="Z56" i="23" s="1"/>
  <c r="Z57" i="23"/>
  <c r="V57" i="23"/>
  <c r="V54" i="23"/>
  <c r="V56" i="23" s="1"/>
  <c r="I57" i="23"/>
  <c r="I54" i="23"/>
  <c r="I56" i="23" s="1"/>
  <c r="G57" i="23"/>
  <c r="G54" i="23"/>
  <c r="G56" i="23" s="1"/>
  <c r="F57" i="23"/>
  <c r="F54" i="23"/>
  <c r="F56" i="23" s="1"/>
  <c r="J56" i="23"/>
  <c r="E57" i="23"/>
  <c r="E54" i="23"/>
  <c r="E56" i="23" s="1"/>
  <c r="D57" i="23"/>
  <c r="D54" i="23"/>
  <c r="D56" i="23" s="1"/>
  <c r="AD30" i="23"/>
  <c r="AD37" i="23"/>
  <c r="AD44" i="23"/>
  <c r="AD26" i="23"/>
  <c r="AD11" i="23"/>
  <c r="AD24" i="23"/>
  <c r="AD45" i="23"/>
  <c r="AD13" i="23"/>
  <c r="AD39" i="23"/>
  <c r="AD5" i="23"/>
  <c r="AD52" i="23"/>
  <c r="AD17" i="23"/>
  <c r="AD8" i="23"/>
  <c r="AD14" i="23"/>
  <c r="AD34" i="23"/>
  <c r="AD21" i="23"/>
  <c r="AD16" i="23"/>
  <c r="AD41" i="23"/>
  <c r="AD28" i="23"/>
  <c r="AD32" i="23"/>
  <c r="AD23" i="23"/>
  <c r="AD53" i="23"/>
  <c r="AD31" i="23"/>
  <c r="AD10" i="23"/>
  <c r="AD36" i="23"/>
  <c r="AD18" i="23"/>
  <c r="AD19" i="23"/>
  <c r="AD51" i="23"/>
  <c r="AD29" i="23"/>
  <c r="AD9" i="23"/>
  <c r="AD33" i="23"/>
  <c r="AD42" i="23"/>
  <c r="AD15" i="23"/>
  <c r="AD50" i="23"/>
  <c r="AD40" i="23"/>
  <c r="AD12" i="23"/>
  <c r="AD49" i="23"/>
  <c r="AD27" i="23"/>
  <c r="AD6" i="23"/>
  <c r="AD35" i="23"/>
  <c r="AD22" i="23"/>
  <c r="AD38" i="23"/>
  <c r="AD43" i="23"/>
  <c r="AD48" i="23"/>
  <c r="AD46" i="23"/>
  <c r="AD20" i="23"/>
  <c r="AD47" i="23"/>
  <c r="O10" i="10"/>
  <c r="M8" i="10"/>
  <c r="AD2" i="23" l="1"/>
  <c r="AD54" i="2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2000000}" keepAlive="1" name="Query - Displayed Text" description="Connection to the 'Displayed Text' query in the workbook." type="5" refreshedVersion="0" background="1" saveData="1">
    <dbPr connection="Provider=Microsoft.Mashup.OleDb.1;Data Source=$Workbook$;Location=&quot;Displayed Text&quot;;Extended Properties=&quot;&quot;" command="SELECT * FROM [Displayed Text]"/>
  </connection>
  <connection id="2" xr16:uid="{00000000-0015-0000-FFFF-FFFF03000000}" name="Query - Table 1" description="Connection to the 'Table 1' query in the workbook." type="100" refreshedVersion="8" minRefreshableVersion="5">
    <extLst>
      <ext xmlns:x15="http://schemas.microsoft.com/office/spreadsheetml/2010/11/main" uri="{DE250136-89BD-433C-8126-D09CA5730AF9}">
        <x15:connection id="c760b438-4a6a-49d0-847a-75f446907441"/>
      </ext>
    </extLst>
  </connection>
  <connection id="3" xr16:uid="{00000000-0015-0000-FFFF-FFFF04000000}" name="Query - Table 2" description="Connection to the 'Table 2' query in the workbook." type="100" refreshedVersion="8" minRefreshableVersion="5">
    <extLst>
      <ext xmlns:x15="http://schemas.microsoft.com/office/spreadsheetml/2010/11/main" uri="{DE250136-89BD-433C-8126-D09CA5730AF9}">
        <x15:connection id="78648b46-8833-4716-b916-dd8f649af110"/>
      </ext>
    </extLst>
  </connection>
  <connection id="4" xr16:uid="{00000000-0015-0000-FFFF-FFFF05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<sst xmlns="http://schemas.openxmlformats.org/spreadsheetml/2006/main" count="661" uniqueCount="240">
  <si>
    <t>Count</t>
  </si>
  <si>
    <t>Name</t>
  </si>
  <si>
    <t>Oct</t>
  </si>
  <si>
    <t>Nov</t>
  </si>
  <si>
    <t>Dec</t>
  </si>
  <si>
    <t>Jan</t>
  </si>
  <si>
    <t>Feb</t>
  </si>
  <si>
    <t>Mar</t>
  </si>
  <si>
    <t>Apr</t>
  </si>
  <si>
    <t>May</t>
  </si>
  <si>
    <t>June</t>
  </si>
  <si>
    <t>Date</t>
  </si>
  <si>
    <t>Potential out</t>
  </si>
  <si>
    <t>Actual Out</t>
  </si>
  <si>
    <t>Running Total</t>
  </si>
  <si>
    <t>Code</t>
  </si>
  <si>
    <t>Opposition</t>
  </si>
  <si>
    <t>Goals For</t>
  </si>
  <si>
    <t>Goals Against</t>
  </si>
  <si>
    <t>Alf Morris</t>
  </si>
  <si>
    <t>Expected</t>
  </si>
  <si>
    <t>Alfie Ferrari</t>
  </si>
  <si>
    <t>Actual</t>
  </si>
  <si>
    <t>Bailey Smith</t>
  </si>
  <si>
    <t>Difference</t>
  </si>
  <si>
    <t>Brad Eccott</t>
  </si>
  <si>
    <t>Callum Cripps</t>
  </si>
  <si>
    <t>Away</t>
  </si>
  <si>
    <t>F</t>
  </si>
  <si>
    <t>Danny Grace</t>
  </si>
  <si>
    <t>George Hickson</t>
  </si>
  <si>
    <t>Jamie Selby</t>
  </si>
  <si>
    <t>Jay Penniall</t>
  </si>
  <si>
    <t>Home</t>
  </si>
  <si>
    <t>L</t>
  </si>
  <si>
    <t>Joe Gallagher</t>
  </si>
  <si>
    <t>Josh Miah</t>
  </si>
  <si>
    <t>Jude Ginno</t>
  </si>
  <si>
    <t>Kalan Wheatley</t>
  </si>
  <si>
    <t>Keiran Donovan</t>
  </si>
  <si>
    <t>Keiran Rawlins</t>
  </si>
  <si>
    <t>Louie Jones</t>
  </si>
  <si>
    <t>Ronnie Davies</t>
  </si>
  <si>
    <t>Ronnie Tucker</t>
  </si>
  <si>
    <t>Ryeley Doolan</t>
  </si>
  <si>
    <t>C</t>
  </si>
  <si>
    <t>Will Beecham</t>
  </si>
  <si>
    <t>Detail</t>
  </si>
  <si>
    <t>Cost</t>
  </si>
  <si>
    <t>Half Referee</t>
  </si>
  <si>
    <t>Balance</t>
  </si>
  <si>
    <t>R</t>
  </si>
  <si>
    <t>Referee</t>
  </si>
  <si>
    <t>M</t>
  </si>
  <si>
    <t>Match Pitch</t>
  </si>
  <si>
    <t>H</t>
  </si>
  <si>
    <t>A</t>
  </si>
  <si>
    <t>Friendly</t>
  </si>
  <si>
    <t>League</t>
  </si>
  <si>
    <t>Cup</t>
  </si>
  <si>
    <t>Invoices</t>
  </si>
  <si>
    <t>Month</t>
  </si>
  <si>
    <t>Amount</t>
  </si>
  <si>
    <t>Status</t>
  </si>
  <si>
    <t>Alf M</t>
  </si>
  <si>
    <t>Alfie F</t>
  </si>
  <si>
    <t>Bailey</t>
  </si>
  <si>
    <t>Brad</t>
  </si>
  <si>
    <t>Callum</t>
  </si>
  <si>
    <t>Danny</t>
  </si>
  <si>
    <t>George</t>
  </si>
  <si>
    <t>Jamie</t>
  </si>
  <si>
    <t>Jay</t>
  </si>
  <si>
    <t>Joe</t>
  </si>
  <si>
    <t>Josh</t>
  </si>
  <si>
    <t>Jude</t>
  </si>
  <si>
    <t>Kalan</t>
  </si>
  <si>
    <t>Louie</t>
  </si>
  <si>
    <t>Ronnie D</t>
  </si>
  <si>
    <t>Ronnie T</t>
  </si>
  <si>
    <t>Ryeley</t>
  </si>
  <si>
    <t>Will</t>
  </si>
  <si>
    <t>Total</t>
  </si>
  <si>
    <t>COUNT</t>
  </si>
  <si>
    <t>Training</t>
  </si>
  <si>
    <t>Position</t>
  </si>
  <si>
    <t>Kit Size</t>
  </si>
  <si>
    <t>Shirt number</t>
  </si>
  <si>
    <t>RB,RW</t>
  </si>
  <si>
    <t>Small</t>
  </si>
  <si>
    <t>LB,LW,CAM</t>
  </si>
  <si>
    <t>Medium</t>
  </si>
  <si>
    <t>CB,RB</t>
  </si>
  <si>
    <t>Large</t>
  </si>
  <si>
    <t>CB,RB,LB</t>
  </si>
  <si>
    <t>XL</t>
  </si>
  <si>
    <t>CDM</t>
  </si>
  <si>
    <t>XXL</t>
  </si>
  <si>
    <t>ST</t>
  </si>
  <si>
    <t>CM,CAM</t>
  </si>
  <si>
    <t>CAM/ST</t>
  </si>
  <si>
    <t>LW,RW,CM</t>
  </si>
  <si>
    <t>S</t>
  </si>
  <si>
    <t>CAM,ST</t>
  </si>
  <si>
    <t>RB,RW,LW</t>
  </si>
  <si>
    <t>CB</t>
  </si>
  <si>
    <t>CAM ST</t>
  </si>
  <si>
    <t>LW,CAM</t>
  </si>
  <si>
    <t>CB,LB</t>
  </si>
  <si>
    <t>LB,LW,CM</t>
  </si>
  <si>
    <t>CDM,CM</t>
  </si>
  <si>
    <t>GK</t>
  </si>
  <si>
    <t>Player</t>
  </si>
  <si>
    <t>Training / Month</t>
  </si>
  <si>
    <t>Yellow</t>
  </si>
  <si>
    <t>Red</t>
  </si>
  <si>
    <t>Account holder name:</t>
  </si>
  <si>
    <t xml:space="preserve">Account number: </t>
  </si>
  <si>
    <t>Sort code: </t>
  </si>
  <si>
    <t>20-62-69</t>
  </si>
  <si>
    <t>DANSON SPORTS LIMITED</t>
  </si>
  <si>
    <t>Astro Pitch</t>
  </si>
  <si>
    <t>Shield</t>
  </si>
  <si>
    <t>Liam Shelbourne</t>
  </si>
  <si>
    <t>Liam</t>
  </si>
  <si>
    <t>Registration</t>
  </si>
  <si>
    <t>CM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</si>
  <si>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</si>
  <si>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</si>
  <si>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</si>
  <si>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</si>
  <si>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</si>
  <si>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</si>
  <si>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</si>
  <si>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</si>
  <si>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July</t>
  </si>
  <si>
    <t>August</t>
  </si>
  <si>
    <t>Card</t>
  </si>
  <si>
    <t>Fine</t>
  </si>
  <si>
    <t>Training Pitch (Half)</t>
  </si>
  <si>
    <t>Training Pitch (Quarter)</t>
  </si>
  <si>
    <t>TQ</t>
  </si>
  <si>
    <t>TH</t>
  </si>
  <si>
    <t>Equipment Bought</t>
  </si>
  <si>
    <t>Day</t>
  </si>
  <si>
    <t>Sunday</t>
  </si>
  <si>
    <t>Tuesday</t>
  </si>
  <si>
    <t>Home / Away</t>
  </si>
  <si>
    <t>Competition</t>
  </si>
  <si>
    <t>RH</t>
  </si>
  <si>
    <t>Sept</t>
  </si>
  <si>
    <t>Home Kit</t>
  </si>
  <si>
    <t>Away Kit</t>
  </si>
  <si>
    <t>Training Kit</t>
  </si>
  <si>
    <t>Result</t>
  </si>
  <si>
    <t>Home Game Pitch &amp; Ref</t>
  </si>
  <si>
    <t>Home Game Pitch &amp; Ref (rounded)</t>
  </si>
  <si>
    <t>Postponed</t>
  </si>
  <si>
    <t>m,r</t>
  </si>
  <si>
    <t>Ryan Baillie</t>
  </si>
  <si>
    <t>First Name</t>
  </si>
  <si>
    <t>Ryan</t>
  </si>
  <si>
    <t>Keiran D</t>
  </si>
  <si>
    <t>Keiran R</t>
  </si>
  <si>
    <t>DAN</t>
  </si>
  <si>
    <t>https://fulltime.thefa.com/index.html?league=3117271</t>
  </si>
  <si>
    <t>https://fulltime.thefa.com/table.html?divisionseason=890410319#tab-1</t>
  </si>
  <si>
    <t>Matchday Players</t>
  </si>
  <si>
    <t>Likely</t>
  </si>
  <si>
    <t>N</t>
  </si>
  <si>
    <t>Y</t>
  </si>
  <si>
    <t>Freddie</t>
  </si>
  <si>
    <t>Rocco</t>
  </si>
  <si>
    <t>Yes</t>
  </si>
  <si>
    <t>No</t>
  </si>
  <si>
    <t>Ethan</t>
  </si>
  <si>
    <t>Q</t>
  </si>
  <si>
    <t>QUESTION</t>
  </si>
  <si>
    <t>Kazeem</t>
  </si>
  <si>
    <t>Numebr</t>
  </si>
  <si>
    <t>Email</t>
  </si>
  <si>
    <t>jamiehowarth07@outlook.com</t>
  </si>
  <si>
    <t>+44 7481 185837</t>
  </si>
  <si>
    <t>+44 7423 819083</t>
  </si>
  <si>
    <t>ethanobialor@gmail.com</t>
  </si>
  <si>
    <t>judeginno69@gmail.com</t>
  </si>
  <si>
    <t>+44 7415 241861</t>
  </si>
  <si>
    <t>+44 7498 057516</t>
  </si>
  <si>
    <t>Kierandonovan07@icloud.com</t>
  </si>
  <si>
    <t>+44 7305 897848</t>
  </si>
  <si>
    <t>tucker.ronnie@icloud.com</t>
  </si>
  <si>
    <t>‭+44 7366 573203‬</t>
  </si>
  <si>
    <t>+44 7578 424688</t>
  </si>
  <si>
    <t>Kalanw07@outlook.com</t>
  </si>
  <si>
    <t>‭+44 7478 697323‬</t>
  </si>
  <si>
    <t>joshuamiah2007@gmail.com</t>
  </si>
  <si>
    <t>‭+44 7421 837113‬</t>
  </si>
  <si>
    <t>williambeecham2007@gmail.com</t>
  </si>
  <si>
    <t>+44 7539 868436</t>
  </si>
  <si>
    <t>georgehickson23@gmail.com</t>
  </si>
  <si>
    <t>+44 7547 619796</t>
  </si>
  <si>
    <t>Jaypenniall@icloud.com</t>
  </si>
  <si>
    <t>+44 7921 051797</t>
  </si>
  <si>
    <t>+44 7778 747765</t>
  </si>
  <si>
    <t>R.baillie2807@gmail.com</t>
  </si>
  <si>
    <t>Louiejones724@gmail.com</t>
  </si>
  <si>
    <t>‭+44 7950 975047‬</t>
  </si>
  <si>
    <t>davies.ronnie1@icloud.com</t>
  </si>
  <si>
    <t>Alfieferrari7@gmail.com</t>
  </si>
  <si>
    <t>Welling United Red OBDSFL</t>
  </si>
  <si>
    <t>Orpington &amp; Bromley District Sunday Football League</t>
  </si>
  <si>
    <t>count</t>
  </si>
  <si>
    <t>Session</t>
  </si>
  <si>
    <t>callum.cripps@icloud.com</t>
  </si>
  <si>
    <t>+44 7494 108525</t>
  </si>
  <si>
    <t>ryeley@icloud.com</t>
  </si>
  <si>
    <t>+44 7306 122055</t>
  </si>
  <si>
    <t>rocco3021@gmail.com</t>
  </si>
  <si>
    <t>+44 7555 114047</t>
  </si>
  <si>
    <t>Kazeemkadiri91@gmail.com</t>
  </si>
  <si>
    <t>07440 487968</t>
  </si>
  <si>
    <t>baileysmith07@icloud.com</t>
  </si>
  <si>
    <t>+44 7510 721734</t>
  </si>
  <si>
    <t>7828 153153</t>
  </si>
  <si>
    <t>Games Rotated</t>
  </si>
  <si>
    <t>Games Injured</t>
  </si>
  <si>
    <t>Id</t>
  </si>
  <si>
    <t>Start time</t>
  </si>
  <si>
    <t>Session Type</t>
  </si>
  <si>
    <t>Attendees</t>
  </si>
  <si>
    <t>Total Trained</t>
  </si>
  <si>
    <t>Total Injured</t>
  </si>
  <si>
    <t>Total Absent</t>
  </si>
  <si>
    <t>Scorers</t>
  </si>
  <si>
    <t>Assists</t>
  </si>
  <si>
    <t>Penalties</t>
  </si>
  <si>
    <t>Freekicks</t>
  </si>
  <si>
    <t>Yellow Card - Sin Bin</t>
  </si>
  <si>
    <t>Yellow Card</t>
  </si>
  <si>
    <t>Red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</si>
</sst>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6" formatCode="&quot;£&quot;#,##0;[Red]\-&quot;£&quot;#,##0"/>
    <numFmt numFmtId="44" formatCode="_-&quot;£&quot;* #,##0.00_-;\-&quot;£&quot;* #,##0.00_-;_-&quot;£&quot;* &quot;-&quot;??_-;_-@_-"/>
    <numFmt numFmtId="164" formatCode="_(&quot;£&quot;* #,##0.00_);_(&quot;£&quot;* \(#,##0.00\);_(&quot;£&quot;* &quot;-&quot;??_);_(@_)"/>
    <numFmt numFmtId="165" formatCode="ddd"/>
    <numFmt numFmtId="166" formatCode="dd/mmm"/>
    <numFmt numFmtId="167" formatCode="dd/mm/yy"/>
    <numFmt numFmtId="171" formatCode="dd\-mm\-yy"/>
    <numFmt numFmtId="173" formatCode="dddd"/>
  </numFmts>
  <fonts count="38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00B050"/>
      <name val="Arial"/>
      <family val="2"/>
    </font>
    <font>
      <b/>
      <sz val="11"/>
      <color theme="1"/>
      <name val="Arial"/>
      <family val="2"/>
    </font>
    <font>
      <sz val="11"/>
      <color rgb="FF00B050"/>
      <name val="Arial"/>
      <family val="2"/>
    </font>
    <font>
      <sz val="11"/>
      <color rgb="FFFF0000"/>
      <name val="Arial"/>
      <family val="2"/>
    </font>
    <font>
      <sz val="11"/>
      <color rgb="FF0070C0"/>
      <name val="Arial"/>
      <family val="2"/>
    </font>
    <font>
      <b/>
      <sz val="11"/>
      <color rgb="FF0070C0"/>
      <name val="Arial"/>
      <family val="2"/>
    </font>
    <font>
      <sz val="18"/>
      <color theme="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sz val="8"/>
      <name val="Aptos Narrow"/>
      <family val="2"/>
      <scheme val="minor"/>
    </font>
    <font>
      <b/>
      <sz val="11"/>
      <name val="Arial"/>
      <family val="2"/>
    </font>
    <font>
      <sz val="1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0"/>
      <name val="Arial"/>
      <family val="2"/>
    </font>
    <font>
      <sz val="14"/>
      <color theme="1"/>
      <name val="Arial"/>
      <family val="2"/>
    </font>
    <font>
      <sz val="14"/>
      <name val="Arial"/>
      <family val="2"/>
    </font>
    <font>
      <b/>
      <sz val="14"/>
      <color theme="1"/>
      <name val="Arial"/>
      <family val="2"/>
    </font>
    <font>
      <sz val="14"/>
      <color rgb="FF00B050"/>
      <name val="Arial"/>
      <family val="2"/>
    </font>
    <font>
      <sz val="14"/>
      <color rgb="FF0070C0"/>
      <name val="Arial"/>
      <family val="2"/>
    </font>
    <font>
      <sz val="12"/>
      <color theme="0"/>
      <name val="Arial"/>
      <family val="2"/>
    </font>
    <font>
      <u/>
      <sz val="12"/>
      <color theme="10"/>
      <name val="Arial"/>
      <family val="2"/>
    </font>
    <font>
      <sz val="16"/>
      <color theme="1"/>
      <name val="Arial"/>
      <family val="2"/>
    </font>
    <font>
      <u/>
      <sz val="12"/>
      <color theme="10"/>
      <name val="Aptos Narrow"/>
      <family val="2"/>
      <scheme val="minor"/>
    </font>
    <font>
      <b/>
      <sz val="11"/>
      <color theme="2" tint="-0.499984740745262"/>
      <name val="Arial"/>
      <family val="2"/>
    </font>
    <font>
      <b/>
      <sz val="11"/>
      <color theme="2" tint="-0.499984740745262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000000"/>
      <name val="Aptos Narrow"/>
      <family val="2"/>
    </font>
    <font>
      <sz val="10"/>
      <color theme="1"/>
      <name val="Arial"/>
      <family val="2"/>
    </font>
    <font>
      <sz val="10"/>
      <color theme="2" tint="-0.499984740745262"/>
      <name val="Arial"/>
      <family val="2"/>
    </font>
    <font>
      <sz val="11"/>
      <color theme="2" tint="-0.499984740745262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0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0" fillId="0" borderId="12" xfId="0" applyBorder="1"/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/>
    <xf numFmtId="0" fontId="0" fillId="0" borderId="14" xfId="0" applyBorder="1" applyAlignment="1">
      <alignment horizontal="center" vertical="center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16" fontId="0" fillId="0" borderId="0" xfId="0" applyNumberFormat="1" applyAlignment="1">
      <alignment horizontal="right" vertical="top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6" fillId="0" borderId="0" xfId="0" applyFont="1"/>
    <xf numFmtId="44" fontId="6" fillId="0" borderId="1" xfId="1" applyFont="1" applyBorder="1" applyAlignment="1">
      <alignment horizontal="center"/>
    </xf>
    <xf numFmtId="0" fontId="6" fillId="0" borderId="10" xfId="0" applyFont="1" applyBorder="1"/>
    <xf numFmtId="44" fontId="7" fillId="0" borderId="12" xfId="0" applyNumberFormat="1" applyFont="1" applyBorder="1"/>
    <xf numFmtId="0" fontId="8" fillId="0" borderId="13" xfId="0" applyFont="1" applyBorder="1" applyAlignment="1">
      <alignment horizontal="center" vertical="top" wrapText="1"/>
    </xf>
    <xf numFmtId="0" fontId="6" fillId="0" borderId="12" xfId="0" applyFont="1" applyBorder="1"/>
    <xf numFmtId="0" fontId="6" fillId="0" borderId="0" xfId="0" applyFont="1" applyAlignment="1">
      <alignment horizontal="center"/>
    </xf>
    <xf numFmtId="164" fontId="10" fillId="0" borderId="12" xfId="0" applyNumberFormat="1" applyFont="1" applyBorder="1"/>
    <xf numFmtId="0" fontId="9" fillId="0" borderId="12" xfId="0" applyFont="1" applyBorder="1"/>
    <xf numFmtId="0" fontId="8" fillId="0" borderId="13" xfId="0" applyFont="1" applyBorder="1"/>
    <xf numFmtId="0" fontId="11" fillId="0" borderId="12" xfId="0" applyFont="1" applyBorder="1"/>
    <xf numFmtId="0" fontId="12" fillId="0" borderId="13" xfId="0" applyFont="1" applyBorder="1"/>
    <xf numFmtId="0" fontId="7" fillId="0" borderId="9" xfId="0" applyFont="1" applyBorder="1"/>
    <xf numFmtId="164" fontId="8" fillId="0" borderId="14" xfId="0" applyNumberFormat="1" applyFont="1" applyBorder="1"/>
    <xf numFmtId="0" fontId="6" fillId="0" borderId="9" xfId="0" applyFont="1" applyBorder="1"/>
    <xf numFmtId="164" fontId="8" fillId="0" borderId="13" xfId="0" applyNumberFormat="1" applyFont="1" applyBorder="1"/>
    <xf numFmtId="0" fontId="8" fillId="0" borderId="2" xfId="0" applyFont="1" applyBorder="1"/>
    <xf numFmtId="0" fontId="6" fillId="0" borderId="5" xfId="0" applyFont="1" applyBorder="1"/>
    <xf numFmtId="44" fontId="6" fillId="0" borderId="22" xfId="1" applyFont="1" applyBorder="1" applyAlignment="1">
      <alignment horizontal="center"/>
    </xf>
    <xf numFmtId="0" fontId="9" fillId="0" borderId="0" xfId="0" applyFont="1"/>
    <xf numFmtId="0" fontId="8" fillId="0" borderId="0" xfId="0" applyFont="1"/>
    <xf numFmtId="0" fontId="6" fillId="0" borderId="13" xfId="0" applyFont="1" applyBorder="1"/>
    <xf numFmtId="0" fontId="8" fillId="0" borderId="9" xfId="0" applyFont="1" applyBorder="1"/>
    <xf numFmtId="0" fontId="6" fillId="0" borderId="13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8" fillId="0" borderId="4" xfId="0" applyFont="1" applyBorder="1"/>
    <xf numFmtId="6" fontId="6" fillId="0" borderId="20" xfId="0" applyNumberFormat="1" applyFont="1" applyBorder="1" applyAlignment="1">
      <alignment horizontal="left"/>
    </xf>
    <xf numFmtId="0" fontId="14" fillId="0" borderId="6" xfId="0" applyFont="1" applyBorder="1"/>
    <xf numFmtId="6" fontId="14" fillId="0" borderId="19" xfId="0" applyNumberFormat="1" applyFont="1" applyBorder="1" applyAlignment="1">
      <alignment horizontal="left"/>
    </xf>
    <xf numFmtId="0" fontId="13" fillId="0" borderId="0" xfId="0" applyFont="1" applyAlignment="1">
      <alignment horizontal="center"/>
    </xf>
    <xf numFmtId="0" fontId="17" fillId="0" borderId="0" xfId="0" applyFont="1" applyAlignment="1">
      <alignment horizontal="center" wrapText="1"/>
    </xf>
    <xf numFmtId="164" fontId="17" fillId="0" borderId="0" xfId="0" applyNumberFormat="1" applyFont="1"/>
    <xf numFmtId="165" fontId="14" fillId="0" borderId="0" xfId="0" applyNumberFormat="1" applyFont="1" applyAlignment="1">
      <alignment horizontal="left"/>
    </xf>
    <xf numFmtId="165" fontId="17" fillId="0" borderId="0" xfId="0" applyNumberFormat="1" applyFont="1" applyAlignment="1">
      <alignment horizontal="left" wrapText="1"/>
    </xf>
    <xf numFmtId="165" fontId="14" fillId="0" borderId="8" xfId="0" applyNumberFormat="1" applyFont="1" applyBorder="1" applyAlignment="1">
      <alignment horizontal="left"/>
    </xf>
    <xf numFmtId="16" fontId="14" fillId="0" borderId="0" xfId="0" applyNumberFormat="1" applyFont="1"/>
    <xf numFmtId="44" fontId="9" fillId="0" borderId="12" xfId="0" applyNumberFormat="1" applyFont="1" applyBorder="1"/>
    <xf numFmtId="165" fontId="17" fillId="0" borderId="7" xfId="0" applyNumberFormat="1" applyFont="1" applyBorder="1" applyAlignment="1">
      <alignment horizontal="left" wrapText="1"/>
    </xf>
    <xf numFmtId="0" fontId="8" fillId="0" borderId="11" xfId="0" applyFont="1" applyBorder="1" applyAlignment="1">
      <alignment horizontal="center" wrapText="1"/>
    </xf>
    <xf numFmtId="0" fontId="17" fillId="0" borderId="10" xfId="0" applyFont="1" applyBorder="1" applyAlignment="1">
      <alignment horizontal="center" wrapText="1"/>
    </xf>
    <xf numFmtId="0" fontId="17" fillId="0" borderId="12" xfId="0" applyFont="1" applyBorder="1"/>
    <xf numFmtId="166" fontId="14" fillId="0" borderId="0" xfId="0" applyNumberFormat="1" applyFont="1"/>
    <xf numFmtId="166" fontId="17" fillId="0" borderId="0" xfId="0" applyNumberFormat="1" applyFont="1" applyAlignment="1">
      <alignment horizontal="center" wrapText="1"/>
    </xf>
    <xf numFmtId="166" fontId="17" fillId="0" borderId="7" xfId="0" applyNumberFormat="1" applyFont="1" applyBorder="1" applyAlignment="1">
      <alignment horizontal="center" wrapText="1"/>
    </xf>
    <xf numFmtId="166" fontId="17" fillId="0" borderId="8" xfId="0" applyNumberFormat="1" applyFont="1" applyBorder="1"/>
    <xf numFmtId="166" fontId="17" fillId="0" borderId="0" xfId="0" applyNumberFormat="1" applyFont="1"/>
    <xf numFmtId="166" fontId="0" fillId="0" borderId="0" xfId="0" applyNumberFormat="1"/>
    <xf numFmtId="44" fontId="14" fillId="0" borderId="0" xfId="1" applyFont="1" applyBorder="1"/>
    <xf numFmtId="44" fontId="17" fillId="0" borderId="0" xfId="1" applyFont="1" applyBorder="1" applyAlignment="1">
      <alignment horizontal="center" wrapText="1"/>
    </xf>
    <xf numFmtId="44" fontId="17" fillId="0" borderId="7" xfId="1" applyFont="1" applyBorder="1" applyAlignment="1">
      <alignment horizontal="center" wrapText="1"/>
    </xf>
    <xf numFmtId="164" fontId="17" fillId="0" borderId="8" xfId="0" applyNumberFormat="1" applyFont="1" applyBorder="1"/>
    <xf numFmtId="0" fontId="18" fillId="0" borderId="0" xfId="0" applyFont="1"/>
    <xf numFmtId="0" fontId="6" fillId="0" borderId="1" xfId="0" applyFont="1" applyBorder="1"/>
    <xf numFmtId="0" fontId="8" fillId="0" borderId="0" xfId="0" applyFont="1" applyAlignment="1">
      <alignment horizontal="center"/>
    </xf>
    <xf numFmtId="16" fontId="6" fillId="0" borderId="1" xfId="0" applyNumberFormat="1" applyFont="1" applyBorder="1"/>
    <xf numFmtId="44" fontId="6" fillId="0" borderId="1" xfId="1" applyFont="1" applyBorder="1"/>
    <xf numFmtId="44" fontId="6" fillId="0" borderId="0" xfId="1" applyFont="1" applyBorder="1" applyAlignment="1">
      <alignment horizontal="center"/>
    </xf>
    <xf numFmtId="44" fontId="6" fillId="0" borderId="0" xfId="1" applyFont="1"/>
    <xf numFmtId="0" fontId="6" fillId="0" borderId="32" xfId="0" applyFont="1" applyBorder="1"/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44" fontId="15" fillId="0" borderId="14" xfId="1" applyFont="1" applyBorder="1"/>
    <xf numFmtId="0" fontId="6" fillId="0" borderId="2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8" fillId="0" borderId="39" xfId="0" applyFont="1" applyBorder="1" applyAlignment="1">
      <alignment horizontal="center"/>
    </xf>
    <xf numFmtId="0" fontId="8" fillId="0" borderId="40" xfId="0" applyFont="1" applyBorder="1" applyAlignment="1">
      <alignment horizontal="center"/>
    </xf>
    <xf numFmtId="0" fontId="8" fillId="0" borderId="41" xfId="0" applyFont="1" applyBorder="1" applyAlignment="1">
      <alignment horizontal="center"/>
    </xf>
    <xf numFmtId="44" fontId="6" fillId="0" borderId="15" xfId="1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6" fillId="0" borderId="34" xfId="0" applyFont="1" applyBorder="1"/>
    <xf numFmtId="0" fontId="19" fillId="0" borderId="0" xfId="0" applyFont="1" applyAlignment="1">
      <alignment horizontal="center"/>
    </xf>
    <xf numFmtId="0" fontId="19" fillId="0" borderId="0" xfId="0" applyFont="1"/>
    <xf numFmtId="44" fontId="19" fillId="0" borderId="0" xfId="0" applyNumberFormat="1" applyFont="1"/>
    <xf numFmtId="0" fontId="21" fillId="0" borderId="0" xfId="0" applyFont="1"/>
    <xf numFmtId="44" fontId="21" fillId="0" borderId="0" xfId="1" applyFont="1" applyBorder="1"/>
    <xf numFmtId="44" fontId="21" fillId="0" borderId="0" xfId="1" applyFont="1" applyFill="1"/>
    <xf numFmtId="0" fontId="22" fillId="0" borderId="0" xfId="0" applyFont="1"/>
    <xf numFmtId="44" fontId="22" fillId="0" borderId="0" xfId="1" applyFont="1"/>
    <xf numFmtId="0" fontId="24" fillId="0" borderId="0" xfId="0" applyFont="1"/>
    <xf numFmtId="44" fontId="21" fillId="0" borderId="0" xfId="1" applyFont="1"/>
    <xf numFmtId="0" fontId="25" fillId="0" borderId="0" xfId="0" applyFont="1"/>
    <xf numFmtId="44" fontId="25" fillId="0" borderId="0" xfId="1" applyFont="1" applyFill="1"/>
    <xf numFmtId="0" fontId="21" fillId="0" borderId="0" xfId="0" applyFont="1" applyAlignment="1">
      <alignment horizontal="center" vertical="top" wrapText="1"/>
    </xf>
    <xf numFmtId="0" fontId="21" fillId="6" borderId="11" xfId="0" applyFont="1" applyFill="1" applyBorder="1" applyAlignment="1">
      <alignment horizontal="center" vertical="top" wrapText="1"/>
    </xf>
    <xf numFmtId="0" fontId="21" fillId="6" borderId="2" xfId="1" applyNumberFormat="1" applyFont="1" applyFill="1" applyBorder="1" applyAlignment="1">
      <alignment horizontal="center" vertical="top" wrapText="1"/>
    </xf>
    <xf numFmtId="0" fontId="21" fillId="0" borderId="0" xfId="1" applyNumberFormat="1" applyFont="1" applyFill="1" applyBorder="1" applyAlignment="1">
      <alignment horizontal="center" vertical="top" wrapText="1"/>
    </xf>
    <xf numFmtId="44" fontId="21" fillId="0" borderId="6" xfId="1" applyFont="1" applyBorder="1"/>
    <xf numFmtId="44" fontId="21" fillId="0" borderId="17" xfId="1" applyFont="1" applyBorder="1"/>
    <xf numFmtId="44" fontId="21" fillId="0" borderId="0" xfId="1" applyFont="1" applyFill="1" applyBorder="1"/>
    <xf numFmtId="0" fontId="23" fillId="0" borderId="0" xfId="0" applyFont="1" applyAlignment="1">
      <alignment horizontal="center"/>
    </xf>
    <xf numFmtId="0" fontId="21" fillId="0" borderId="31" xfId="0" applyFont="1" applyBorder="1"/>
    <xf numFmtId="0" fontId="21" fillId="0" borderId="1" xfId="0" applyFont="1" applyBorder="1"/>
    <xf numFmtId="0" fontId="21" fillId="0" borderId="33" xfId="0" applyFont="1" applyBorder="1"/>
    <xf numFmtId="0" fontId="21" fillId="0" borderId="15" xfId="0" applyFont="1" applyBorder="1"/>
    <xf numFmtId="44" fontId="21" fillId="0" borderId="35" xfId="1" applyFont="1" applyBorder="1"/>
    <xf numFmtId="0" fontId="21" fillId="0" borderId="38" xfId="0" applyFont="1" applyBorder="1"/>
    <xf numFmtId="16" fontId="21" fillId="0" borderId="3" xfId="0" applyNumberFormat="1" applyFont="1" applyBorder="1"/>
    <xf numFmtId="44" fontId="21" fillId="0" borderId="16" xfId="1" applyFont="1" applyBorder="1"/>
    <xf numFmtId="0" fontId="23" fillId="0" borderId="0" xfId="0" applyFont="1"/>
    <xf numFmtId="44" fontId="21" fillId="0" borderId="5" xfId="1" applyFont="1" applyBorder="1"/>
    <xf numFmtId="0" fontId="21" fillId="0" borderId="13" xfId="0" applyFont="1" applyBorder="1"/>
    <xf numFmtId="44" fontId="21" fillId="0" borderId="37" xfId="0" applyNumberFormat="1" applyFont="1" applyBorder="1"/>
    <xf numFmtId="16" fontId="19" fillId="0" borderId="0" xfId="0" applyNumberFormat="1" applyFont="1"/>
    <xf numFmtId="16" fontId="19" fillId="0" borderId="0" xfId="0" applyNumberFormat="1" applyFont="1">
      <extLst>
        <ext xmlns:xfpb="http://schemas.microsoft.com/office/spreadsheetml/2022/featurepropertybag" uri="{C7286773-470A-42A8-94C5-96B5CB345126}">
          <xfpb:xfComplement i="0"/>
        </ext>
      </extLst>
    </xf>
    <xf numFmtId="1" fontId="19" fillId="0" borderId="0" xfId="0" applyNumberFormat="1" applyFont="1"/>
    <xf numFmtId="0" fontId="19" fillId="0" borderId="2" xfId="0" applyFont="1" applyBorder="1"/>
    <xf numFmtId="0" fontId="19" fillId="0" borderId="4" xfId="0" applyFont="1" applyBorder="1"/>
    <xf numFmtId="0" fontId="19" fillId="0" borderId="6" xfId="0" applyFont="1" applyBorder="1"/>
    <xf numFmtId="0" fontId="19" fillId="0" borderId="19" xfId="0" applyFont="1" applyBorder="1"/>
    <xf numFmtId="0" fontId="19" fillId="0" borderId="5" xfId="0" applyFont="1" applyBorder="1"/>
    <xf numFmtId="0" fontId="19" fillId="0" borderId="20" xfId="0" applyFont="1" applyBorder="1"/>
    <xf numFmtId="44" fontId="19" fillId="0" borderId="1" xfId="1" applyFont="1" applyBorder="1" applyAlignment="1">
      <alignment horizontal="center"/>
    </xf>
    <xf numFmtId="44" fontId="19" fillId="0" borderId="17" xfId="1" applyFont="1" applyBorder="1" applyAlignment="1">
      <alignment horizontal="center"/>
    </xf>
    <xf numFmtId="6" fontId="19" fillId="0" borderId="0" xfId="0" applyNumberFormat="1" applyFont="1"/>
    <xf numFmtId="0" fontId="27" fillId="0" borderId="0" xfId="2" applyFont="1"/>
    <xf numFmtId="0" fontId="1" fillId="0" borderId="0" xfId="0" applyFont="1"/>
    <xf numFmtId="164" fontId="19" fillId="0" borderId="0" xfId="0" applyNumberFormat="1" applyFont="1"/>
    <xf numFmtId="0" fontId="20" fillId="4" borderId="42" xfId="0" applyFont="1" applyFill="1" applyBorder="1" applyAlignment="1">
      <alignment vertical="top" wrapText="1"/>
    </xf>
    <xf numFmtId="0" fontId="26" fillId="2" borderId="22" xfId="0" applyFont="1" applyFill="1" applyBorder="1" applyAlignment="1">
      <alignment horizontal="center" vertical="top" wrapText="1"/>
    </xf>
    <xf numFmtId="0" fontId="26" fillId="2" borderId="27" xfId="0" applyFont="1" applyFill="1" applyBorder="1" applyAlignment="1">
      <alignment horizontal="center" vertical="top" wrapText="1"/>
    </xf>
    <xf numFmtId="0" fontId="26" fillId="2" borderId="26" xfId="0" applyFont="1" applyFill="1" applyBorder="1" applyAlignment="1">
      <alignment horizontal="center" vertical="top" wrapText="1"/>
    </xf>
    <xf numFmtId="0" fontId="26" fillId="2" borderId="0" xfId="0" applyFont="1" applyFill="1" applyAlignment="1">
      <alignment horizontal="center" vertical="top" wrapText="1"/>
    </xf>
    <xf numFmtId="0" fontId="19" fillId="0" borderId="0" xfId="0" applyFont="1" applyAlignment="1">
      <alignment vertical="top" wrapText="1"/>
    </xf>
    <xf numFmtId="0" fontId="19" fillId="5" borderId="33" xfId="0" applyFont="1" applyFill="1" applyBorder="1"/>
    <xf numFmtId="44" fontId="19" fillId="0" borderId="22" xfId="1" applyFont="1" applyBorder="1" applyAlignment="1">
      <alignment horizontal="center"/>
    </xf>
    <xf numFmtId="44" fontId="19" fillId="0" borderId="27" xfId="1" applyFont="1" applyBorder="1" applyAlignment="1">
      <alignment horizontal="center"/>
    </xf>
    <xf numFmtId="0" fontId="19" fillId="0" borderId="18" xfId="0" applyFont="1" applyBorder="1"/>
    <xf numFmtId="0" fontId="19" fillId="0" borderId="0" xfId="0" applyFont="1" applyAlignment="1">
      <alignment horizontal="right"/>
    </xf>
    <xf numFmtId="44" fontId="19" fillId="0" borderId="36" xfId="0" applyNumberFormat="1" applyFont="1" applyBorder="1" applyAlignment="1">
      <alignment horizontal="center"/>
    </xf>
    <xf numFmtId="44" fontId="19" fillId="0" borderId="26" xfId="0" applyNumberFormat="1" applyFont="1" applyBorder="1" applyAlignment="1">
      <alignment horizontal="center"/>
    </xf>
    <xf numFmtId="0" fontId="17" fillId="0" borderId="10" xfId="0" applyFont="1" applyBorder="1"/>
    <xf numFmtId="165" fontId="14" fillId="0" borderId="7" xfId="0" applyNumberFormat="1" applyFont="1" applyBorder="1" applyAlignment="1">
      <alignment horizontal="left"/>
    </xf>
    <xf numFmtId="166" fontId="17" fillId="0" borderId="7" xfId="0" applyNumberFormat="1" applyFont="1" applyBorder="1"/>
    <xf numFmtId="164" fontId="17" fillId="0" borderId="7" xfId="0" applyNumberFormat="1" applyFont="1" applyBorder="1"/>
    <xf numFmtId="164" fontId="8" fillId="0" borderId="11" xfId="0" applyNumberFormat="1" applyFont="1" applyBorder="1"/>
    <xf numFmtId="44" fontId="21" fillId="0" borderId="43" xfId="1" applyFont="1" applyBorder="1"/>
    <xf numFmtId="0" fontId="0" fillId="0" borderId="1" xfId="0" applyBorder="1" applyAlignment="1">
      <alignment horizontal="left"/>
    </xf>
    <xf numFmtId="0" fontId="0" fillId="0" borderId="15" xfId="0" applyBorder="1" applyAlignment="1">
      <alignment horizontal="left"/>
    </xf>
    <xf numFmtId="0" fontId="3" fillId="0" borderId="0" xfId="0" applyFont="1" applyAlignment="1">
      <alignment horizontal="center" wrapText="1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/>
    </xf>
    <xf numFmtId="0" fontId="6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16" fontId="6" fillId="0" borderId="1" xfId="0" applyNumberFormat="1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0" xfId="0" applyFont="1" applyAlignment="1">
      <alignment horizontal="center" wrapText="1"/>
    </xf>
    <xf numFmtId="0" fontId="28" fillId="0" borderId="0" xfId="0" applyFont="1" applyAlignment="1">
      <alignment horizontal="left" wrapText="1"/>
    </xf>
    <xf numFmtId="0" fontId="2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1" fillId="0" borderId="0" xfId="0" applyFont="1" applyAlignment="1">
      <alignment wrapText="1"/>
    </xf>
    <xf numFmtId="0" fontId="0" fillId="0" borderId="46" xfId="0" applyBorder="1" applyAlignment="1">
      <alignment horizontal="center" vertical="center"/>
    </xf>
    <xf numFmtId="0" fontId="0" fillId="0" borderId="45" xfId="0" applyBorder="1"/>
    <xf numFmtId="0" fontId="4" fillId="0" borderId="0" xfId="2"/>
    <xf numFmtId="0" fontId="29" fillId="0" borderId="0" xfId="2" applyFont="1"/>
    <xf numFmtId="0" fontId="21" fillId="0" borderId="10" xfId="0" applyFont="1" applyBorder="1"/>
    <xf numFmtId="0" fontId="21" fillId="0" borderId="7" xfId="0" applyFont="1" applyBorder="1"/>
    <xf numFmtId="44" fontId="21" fillId="0" borderId="7" xfId="1" applyFont="1" applyBorder="1"/>
    <xf numFmtId="164" fontId="21" fillId="0" borderId="7" xfId="0" applyNumberFormat="1" applyFont="1" applyBorder="1"/>
    <xf numFmtId="164" fontId="21" fillId="0" borderId="11" xfId="0" applyNumberFormat="1" applyFont="1" applyBorder="1"/>
    <xf numFmtId="0" fontId="23" fillId="0" borderId="9" xfId="0" applyFont="1" applyBorder="1"/>
    <xf numFmtId="0" fontId="23" fillId="0" borderId="8" xfId="0" applyFont="1" applyBorder="1"/>
    <xf numFmtId="44" fontId="23" fillId="0" borderId="8" xfId="1" applyFont="1" applyBorder="1"/>
    <xf numFmtId="44" fontId="23" fillId="0" borderId="14" xfId="1" applyFont="1" applyBorder="1"/>
    <xf numFmtId="44" fontId="21" fillId="0" borderId="1" xfId="0" applyNumberFormat="1" applyFont="1" applyBorder="1"/>
    <xf numFmtId="44" fontId="21" fillId="0" borderId="6" xfId="0" applyNumberFormat="1" applyFont="1" applyBorder="1"/>
    <xf numFmtId="44" fontId="21" fillId="0" borderId="19" xfId="0" applyNumberFormat="1" applyFont="1" applyBorder="1"/>
    <xf numFmtId="44" fontId="21" fillId="0" borderId="5" xfId="0" applyNumberFormat="1" applyFont="1" applyBorder="1"/>
    <xf numFmtId="44" fontId="21" fillId="0" borderId="47" xfId="0" applyNumberFormat="1" applyFont="1" applyBorder="1"/>
    <xf numFmtId="44" fontId="21" fillId="0" borderId="20" xfId="0" applyNumberFormat="1" applyFont="1" applyBorder="1"/>
    <xf numFmtId="44" fontId="21" fillId="0" borderId="21" xfId="0" applyNumberFormat="1" applyFont="1" applyBorder="1"/>
    <xf numFmtId="44" fontId="21" fillId="0" borderId="22" xfId="0" applyNumberFormat="1" applyFont="1" applyBorder="1"/>
    <xf numFmtId="44" fontId="21" fillId="0" borderId="23" xfId="0" applyNumberFormat="1" applyFont="1" applyBorder="1"/>
    <xf numFmtId="0" fontId="23" fillId="0" borderId="44" xfId="0" applyFont="1" applyBorder="1" applyAlignment="1">
      <alignment horizontal="center"/>
    </xf>
    <xf numFmtId="0" fontId="23" fillId="0" borderId="48" xfId="0" applyFont="1" applyBorder="1" applyAlignment="1">
      <alignment horizontal="center"/>
    </xf>
    <xf numFmtId="0" fontId="23" fillId="0" borderId="45" xfId="0" applyFont="1" applyBorder="1" applyAlignment="1">
      <alignment horizontal="center"/>
    </xf>
    <xf numFmtId="0" fontId="0" fillId="0" borderId="49" xfId="0" applyBorder="1" applyAlignment="1">
      <alignment horizontal="center"/>
    </xf>
    <xf numFmtId="164" fontId="13" fillId="3" borderId="7" xfId="0" applyNumberFormat="1" applyFont="1" applyFill="1" applyBorder="1" applyAlignment="1">
      <alignment horizontal="center"/>
    </xf>
    <xf numFmtId="0" fontId="13" fillId="3" borderId="11" xfId="0" applyFont="1" applyFill="1" applyBorder="1" applyAlignment="1">
      <alignment horizontal="center"/>
    </xf>
    <xf numFmtId="0" fontId="13" fillId="3" borderId="8" xfId="0" applyFont="1" applyFill="1" applyBorder="1" applyAlignment="1">
      <alignment horizontal="center"/>
    </xf>
    <xf numFmtId="0" fontId="13" fillId="3" borderId="14" xfId="0" applyFont="1" applyFill="1" applyBorder="1" applyAlignment="1">
      <alignment horizontal="center"/>
    </xf>
    <xf numFmtId="0" fontId="13" fillId="3" borderId="10" xfId="0" applyFont="1" applyFill="1" applyBorder="1" applyAlignment="1">
      <alignment horizontal="center"/>
    </xf>
    <xf numFmtId="0" fontId="13" fillId="3" borderId="7" xfId="0" applyFont="1" applyFill="1" applyBorder="1" applyAlignment="1">
      <alignment horizontal="center"/>
    </xf>
    <xf numFmtId="0" fontId="13" fillId="3" borderId="9" xfId="0" applyFont="1" applyFill="1" applyBorder="1" applyAlignment="1">
      <alignment horizontal="center"/>
    </xf>
    <xf numFmtId="0" fontId="8" fillId="0" borderId="28" xfId="0" applyFont="1" applyBorder="1" applyAlignment="1">
      <alignment horizontal="center"/>
    </xf>
    <xf numFmtId="0" fontId="8" fillId="0" borderId="29" xfId="0" applyFont="1" applyBorder="1" applyAlignment="1">
      <alignment horizontal="center"/>
    </xf>
    <xf numFmtId="0" fontId="8" fillId="0" borderId="30" xfId="0" applyFont="1" applyBorder="1" applyAlignment="1">
      <alignment horizontal="center"/>
    </xf>
    <xf numFmtId="0" fontId="23" fillId="0" borderId="0" xfId="0" applyFont="1" applyAlignment="1">
      <alignment horizontal="center" wrapText="1"/>
    </xf>
    <xf numFmtId="0" fontId="4" fillId="0" borderId="1" xfId="2" applyBorder="1" applyAlignment="1">
      <alignment horizontal="left"/>
    </xf>
    <xf numFmtId="0" fontId="0" fillId="0" borderId="0" xfId="0" applyAlignment="1">
      <alignment horizont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5" xfId="0" applyBorder="1" applyAlignment="1">
      <alignment horizont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24" xfId="0" applyBorder="1" applyAlignment="1">
      <alignment horizont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 applyAlignment="1">
      <alignment horizont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Border="1" applyAlignment="1">
      <alignment horizont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167" fontId="28" fillId="0" borderId="0" xfId="0" applyNumberFormat="1" applyFont="1" applyAlignment="1">
      <alignment horizontal="left" wrapText="1"/>
    </xf>
    <xf numFmtId="167" fontId="6" fillId="0" borderId="0" xfId="0" applyNumberFormat="1" applyFont="1" applyAlignment="1">
      <alignment horizontal="left" wrapText="1"/>
    </xf>
    <xf numFmtId="171" fontId="19" fillId="0" borderId="0" xfId="0" applyNumberFormat="1" applyFont="1"/>
    <xf numFmtId="173" fontId="19" fillId="0" borderId="0" xfId="0" applyNumberFormat="1" applyFont="1"/>
    <xf numFmtId="49" fontId="6" fillId="0" borderId="0" xfId="0" applyNumberFormat="1" applyFont="1" applyAlignment="1">
      <alignment horizontal="left" wrapText="1"/>
    </xf>
    <xf numFmtId="49" fontId="21" fillId="0" borderId="0" xfId="0" applyNumberFormat="1" applyFont="1" applyAlignment="1">
      <alignment wrapText="1"/>
    </xf>
    <xf numFmtId="49" fontId="28" fillId="0" borderId="0" xfId="0" applyNumberFormat="1" applyFont="1" applyAlignment="1">
      <alignment horizontal="left" wrapText="1"/>
    </xf>
    <xf numFmtId="49" fontId="6" fillId="0" borderId="0" xfId="0" applyNumberFormat="1" applyFont="1" applyAlignment="1">
      <alignment wrapText="1"/>
    </xf>
    <xf numFmtId="171" fontId="19" fillId="0" borderId="31" xfId="0" applyNumberFormat="1" applyFont="1" applyBorder="1"/>
    <xf numFmtId="49" fontId="6" fillId="0" borderId="1" xfId="0" applyNumberFormat="1" applyFont="1" applyBorder="1" applyAlignment="1">
      <alignment horizontal="left" wrapText="1"/>
    </xf>
    <xf numFmtId="0" fontId="6" fillId="0" borderId="17" xfId="0" applyFont="1" applyBorder="1" applyAlignment="1">
      <alignment horizontal="center" vertical="center" wrapText="1"/>
    </xf>
    <xf numFmtId="16" fontId="6" fillId="0" borderId="17" xfId="0" applyNumberFormat="1" applyFont="1" applyBorder="1" applyAlignment="1">
      <alignment horizontal="center" vertical="center" wrapText="1"/>
    </xf>
    <xf numFmtId="0" fontId="28" fillId="0" borderId="17" xfId="0" applyFont="1" applyBorder="1" applyAlignment="1">
      <alignment horizontal="center" vertical="center" wrapText="1"/>
    </xf>
    <xf numFmtId="171" fontId="19" fillId="0" borderId="33" xfId="0" applyNumberFormat="1" applyFont="1" applyBorder="1"/>
    <xf numFmtId="49" fontId="6" fillId="0" borderId="15" xfId="0" applyNumberFormat="1" applyFont="1" applyBorder="1" applyAlignment="1">
      <alignment horizontal="left" wrapText="1"/>
    </xf>
    <xf numFmtId="0" fontId="6" fillId="0" borderId="15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49" fontId="0" fillId="0" borderId="25" xfId="0" applyNumberFormat="1" applyBorder="1" applyAlignment="1">
      <alignment wrapText="1"/>
    </xf>
    <xf numFmtId="49" fontId="0" fillId="0" borderId="0" xfId="0" applyNumberFormat="1" applyAlignment="1">
      <alignment wrapText="1"/>
    </xf>
    <xf numFmtId="49" fontId="5" fillId="0" borderId="0" xfId="0" applyNumberFormat="1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28" fillId="0" borderId="1" xfId="0" applyFont="1" applyBorder="1" applyAlignment="1">
      <alignment horizontal="center" wrapText="1"/>
    </xf>
    <xf numFmtId="0" fontId="6" fillId="0" borderId="22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8" fillId="0" borderId="1" xfId="0" applyNumberFormat="1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30" fillId="0" borderId="0" xfId="0" applyFont="1" applyAlignment="1">
      <alignment horizontal="center" wrapText="1"/>
    </xf>
    <xf numFmtId="0" fontId="31" fillId="0" borderId="27" xfId="0" applyFont="1" applyBorder="1" applyAlignment="1">
      <alignment horizontal="center" wrapText="1"/>
    </xf>
    <xf numFmtId="0" fontId="31" fillId="0" borderId="26" xfId="0" applyFont="1" applyBorder="1" applyAlignment="1">
      <alignment horizontal="center" wrapText="1"/>
    </xf>
    <xf numFmtId="0" fontId="19" fillId="0" borderId="0" xfId="0" applyFont="1" applyAlignment="1">
      <alignment horizontal="center" vertical="center" wrapText="1"/>
    </xf>
    <xf numFmtId="1" fontId="19" fillId="0" borderId="0" xfId="0" applyNumberFormat="1" applyFont="1" applyAlignment="1">
      <alignment horizontal="center" vertical="center" wrapText="1"/>
    </xf>
    <xf numFmtId="171" fontId="19" fillId="0" borderId="0" xfId="0" applyNumberFormat="1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16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16" fontId="21" fillId="0" borderId="32" xfId="0" applyNumberFormat="1" applyFont="1" applyBorder="1" applyAlignment="1">
      <alignment horizontal="center" vertical="center" wrapText="1"/>
    </xf>
    <xf numFmtId="49" fontId="21" fillId="0" borderId="22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6" fontId="21" fillId="0" borderId="0" xfId="0" applyNumberFormat="1" applyFont="1" applyAlignment="1">
      <alignment horizontal="center" vertical="center" wrapText="1"/>
    </xf>
    <xf numFmtId="49" fontId="21" fillId="0" borderId="0" xfId="0" applyNumberFormat="1" applyFont="1" applyAlignment="1">
      <alignment horizontal="center" vertical="center" wrapText="1"/>
    </xf>
    <xf numFmtId="167" fontId="21" fillId="0" borderId="0" xfId="0" applyNumberFormat="1" applyFont="1" applyAlignment="1">
      <alignment horizontal="center" vertical="center" wrapText="1"/>
    </xf>
    <xf numFmtId="0" fontId="31" fillId="0" borderId="26" xfId="0" applyFont="1" applyBorder="1" applyAlignment="1">
      <alignment horizontal="center" vertical="center" wrapText="1"/>
    </xf>
    <xf numFmtId="16" fontId="6" fillId="0" borderId="0" xfId="0" applyNumberFormat="1" applyFont="1" applyAlignment="1">
      <alignment horizontal="center" vertical="center" wrapText="1"/>
    </xf>
    <xf numFmtId="0" fontId="30" fillId="0" borderId="26" xfId="0" applyFont="1" applyBorder="1" applyAlignment="1">
      <alignment horizontal="center" vertical="center" wrapText="1"/>
    </xf>
    <xf numFmtId="0" fontId="30" fillId="0" borderId="26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30" fillId="0" borderId="27" xfId="0" applyFont="1" applyBorder="1" applyAlignment="1">
      <alignment horizontal="center" wrapText="1"/>
    </xf>
    <xf numFmtId="16" fontId="6" fillId="0" borderId="0" xfId="0" applyNumberFormat="1" applyFont="1" applyAlignment="1">
      <alignment wrapText="1"/>
    </xf>
    <xf numFmtId="0" fontId="36" fillId="0" borderId="0" xfId="0" applyFont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31" xfId="0" applyBorder="1" applyAlignment="1">
      <alignment horizontal="center" vertical="center" wrapText="1"/>
    </xf>
    <xf numFmtId="0" fontId="0" fillId="0" borderId="31" xfId="0" applyBorder="1" applyAlignment="1">
      <alignment horizontal="center" wrapText="1"/>
    </xf>
    <xf numFmtId="16" fontId="0" fillId="0" borderId="0" xfId="0" applyNumberFormat="1" applyBorder="1" applyAlignment="1">
      <alignment horizontal="right" vertical="center" wrapText="1"/>
    </xf>
    <xf numFmtId="49" fontId="5" fillId="0" borderId="0" xfId="0" applyNumberFormat="1" applyFont="1" applyBorder="1" applyAlignment="1">
      <alignment vertical="center" wrapText="1"/>
    </xf>
    <xf numFmtId="16" fontId="0" fillId="0" borderId="0" xfId="0" applyNumberFormat="1" applyBorder="1" applyAlignment="1">
      <alignment horizontal="right" vertical="top" wrapText="1"/>
    </xf>
    <xf numFmtId="49" fontId="5" fillId="0" borderId="1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wrapText="1"/>
    </xf>
    <xf numFmtId="0" fontId="0" fillId="0" borderId="0" xfId="0" applyAlignment="1">
      <alignment vertical="center"/>
    </xf>
    <xf numFmtId="0" fontId="32" fillId="0" borderId="0" xfId="0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49" fontId="21" fillId="0" borderId="6" xfId="1" applyNumberFormat="1" applyFont="1" applyBorder="1"/>
    <xf numFmtId="0" fontId="19" fillId="5" borderId="0" xfId="0" applyFont="1" applyFill="1" applyBorder="1"/>
    <xf numFmtId="0" fontId="0" fillId="0" borderId="0" xfId="0" applyFont="1" applyAlignment="1">
      <alignment horizontal="center"/>
    </xf>
    <xf numFmtId="22" fontId="0" fillId="0" borderId="0" xfId="0" applyNumberFormat="1"/>
    <xf numFmtId="16" fontId="6" fillId="0" borderId="1" xfId="0" applyNumberFormat="1" applyFont="1" applyFill="1" applyBorder="1" applyAlignment="1">
      <alignment horizontal="center" wrapText="1"/>
    </xf>
    <xf numFmtId="0" fontId="37" fillId="0" borderId="2" xfId="0" applyFont="1" applyBorder="1" applyAlignment="1">
      <alignment horizontal="center" vertical="center" wrapText="1"/>
    </xf>
    <xf numFmtId="16" fontId="37" fillId="0" borderId="5" xfId="0" applyNumberFormat="1" applyFont="1" applyBorder="1" applyAlignment="1">
      <alignment horizontal="center" vertical="center" wrapText="1"/>
    </xf>
    <xf numFmtId="0" fontId="34" fillId="0" borderId="0" xfId="0" applyFont="1" applyAlignment="1">
      <alignment vertical="center"/>
    </xf>
    <xf numFmtId="0" fontId="34" fillId="0" borderId="0" xfId="0" applyFont="1" applyAlignment="1">
      <alignment horizontal="center" vertical="center" wrapText="1"/>
    </xf>
    <xf numFmtId="0" fontId="34" fillId="0" borderId="0" xfId="0" applyNumberFormat="1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4" fillId="0" borderId="0" xfId="0" applyFont="1" applyAlignment="1">
      <alignment vertical="center" wrapText="1"/>
    </xf>
    <xf numFmtId="0" fontId="34" fillId="0" borderId="3" xfId="0" applyNumberFormat="1" applyFont="1" applyBorder="1" applyAlignment="1">
      <alignment horizontal="center" vertical="center" wrapText="1"/>
    </xf>
    <xf numFmtId="0" fontId="34" fillId="0" borderId="4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6" fontId="6" fillId="0" borderId="0" xfId="0" applyNumberFormat="1" applyFont="1" applyAlignment="1">
      <alignment vertical="center" wrapText="1"/>
    </xf>
    <xf numFmtId="0" fontId="34" fillId="0" borderId="47" xfId="0" applyNumberFormat="1" applyFont="1" applyBorder="1" applyAlignment="1">
      <alignment horizontal="center" vertical="center" wrapText="1"/>
    </xf>
    <xf numFmtId="0" fontId="34" fillId="0" borderId="20" xfId="0" applyNumberFormat="1" applyFont="1" applyBorder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0" fontId="34" fillId="0" borderId="22" xfId="0" applyNumberFormat="1" applyFont="1" applyBorder="1" applyAlignment="1">
      <alignment horizontal="center" vertical="center" wrapText="1"/>
    </xf>
    <xf numFmtId="0" fontId="34" fillId="0" borderId="22" xfId="0" applyFont="1" applyBorder="1" applyAlignment="1">
      <alignment horizontal="center" vertical="center" wrapText="1"/>
    </xf>
    <xf numFmtId="16" fontId="6" fillId="0" borderId="51" xfId="0" applyNumberFormat="1" applyFont="1" applyFill="1" applyBorder="1" applyAlignment="1">
      <alignment horizontal="center" wrapText="1"/>
    </xf>
    <xf numFmtId="0" fontId="30" fillId="0" borderId="50" xfId="0" applyFont="1" applyBorder="1" applyAlignment="1">
      <alignment horizontal="center" wrapText="1"/>
    </xf>
  </cellXfs>
  <cellStyles count="3">
    <cellStyle name="Currency" xfId="1" builtinId="4"/>
    <cellStyle name="Hyperlink" xfId="2" builtinId="8"/>
    <cellStyle name="Normal" xfId="0" builtinId="0"/>
  </cellStyles>
  <dxfs count="3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9.9948118533890809E-2"/>
      </font>
      <fill>
        <patternFill>
          <bgColor theme="3" tint="0.74996185186315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indexed="64"/>
          <bgColor theme="8" tint="0.59996337778862885"/>
        </patternFill>
      </fill>
    </dxf>
    <dxf>
      <fill>
        <patternFill patternType="solid">
          <fgColor indexed="64"/>
          <bgColor rgb="FFA6C9EC"/>
        </patternFill>
      </fill>
    </dxf>
    <dxf>
      <fill>
        <patternFill patternType="solid">
          <fgColor indexed="64"/>
          <bgColor rgb="FFFF5B5B"/>
        </patternFill>
      </fill>
    </dxf>
    <dxf>
      <fill>
        <patternFill patternType="solid">
          <fgColor indexed="64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2" tint="-0.499984740745262"/>
        <name val="Arial"/>
        <family val="2"/>
        <scheme val="none"/>
      </font>
      <alignment horizontal="center" textRotation="0" wrapText="1" indent="0" justifyLastLine="0" shrinkToFit="0" readingOrder="0"/>
      <border diagonalUp="0" diagonalDown="0">
        <left style="thin">
          <color indexed="64"/>
        </left>
        <right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extLst>
        <ext xmlns:xfpb="http://schemas.microsoft.com/office/spreadsheetml/2022/featurepropertybag" uri="{0417FA29-78FA-4A13-93AC-8FF0FAFDF519}">
          <xfpb:DXFComplement i="1"/>
        </ext>
      </extLst>
    </dxf>
    <dxf>
      <font>
        <strike val="0"/>
        <outline val="0"/>
        <shadow val="0"/>
        <u val="none"/>
        <vertAlign val="baseline"/>
        <sz val="12"/>
        <name val="Arial"/>
        <family val="2"/>
        <scheme val="none"/>
      </font>
      <numFmt numFmtId="173" formatCode="dddd"/>
      <fill>
        <patternFill patternType="none"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21" formatCode="dd\-mmm"/>
    </dxf>
    <dxf>
      <font>
        <strike val="0"/>
        <outline val="0"/>
        <shadow val="0"/>
        <u val="none"/>
        <vertAlign val="baseline"/>
        <color auto="1"/>
        <name val="Arial"/>
        <family val="2"/>
        <scheme val="none"/>
      </font>
      <numFmt numFmtId="21" formatCode="dd\-mmm"/>
      <fill>
        <patternFill patternType="none">
          <bgColor auto="1"/>
        </patternFill>
      </fill>
      <alignment vertical="bottom" textRotation="0" wrapText="1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border diagonalUp="0" diagonalDown="0" outline="0">
        <left style="thin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4" formatCode="_-&quot;£&quot;* #,##0.00_-;\-&quot;£&quot;* #,##0.00_-;_-&quot;£&quot;* &quot;-&quot;??_-;_-@_-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4" formatCode="_-&quot;£&quot;* #,##0.00_-;\-&quot;£&quot;* #,##0.00_-;_-&quot;£&quot;* &quot;-&quot;??_-;_-@_-"/>
      <border diagonalUp="0" diagonalDown="0" outline="0">
        <left style="medium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4" formatCode="_-&quot;£&quot;* #,##0.00_-;\-&quot;£&quot;* #,##0.00_-;_-&quot;£&quot;* &quot;-&quot;??_-;_-@_-"/>
      <border diagonalUp="0" diagonalDown="0" outline="0">
        <left style="medium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4" formatCode="_-&quot;£&quot;* #,##0.00_-;\-&quot;£&quot;* #,##0.00_-;_-&quot;£&quot;* &quot;-&quot;??_-;_-@_-"/>
      <border diagonalUp="0" diagonalDown="0" outline="0">
        <left style="medium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4" formatCode="_-&quot;£&quot;* #,##0.00_-;\-&quot;£&quot;* #,##0.00_-;_-&quot;£&quot;* &quot;-&quot;??_-;_-@_-"/>
      <border diagonalUp="0" diagonalDown="0" outline="0">
        <left style="medium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4" formatCode="_-&quot;£&quot;* #,##0.00_-;\-&quot;£&quot;* #,##0.00_-;_-&quot;£&quot;* &quot;-&quot;??_-;_-@_-"/>
      <border diagonalUp="0" diagonalDown="0" outline="0">
        <left style="medium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border diagonalUp="0" diagonalDown="0" outline="0">
        <left/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4" formatCode="_-&quot;£&quot;* #,##0.00_-;\-&quot;£&quot;* #,##0.00_-;_-&quot;£&quot;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right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000000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color auto="1"/>
        <name val="Arial"/>
        <family val="2"/>
        <scheme val="none"/>
      </font>
      <numFmt numFmtId="30" formatCode="@"/>
      <fill>
        <patternFill patternType="none">
          <bgColor auto="1"/>
        </patternFill>
      </fill>
      <alignment horizontal="general" vertical="bottom" textRotation="0" wrapText="1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ont>
        <color auto="1"/>
        <name val="Arial"/>
        <family val="2"/>
        <scheme val="none"/>
      </font>
      <numFmt numFmtId="21" formatCode="dd\-mmm"/>
      <fill>
        <patternFill patternType="none">
          <bgColor auto="1"/>
        </patternFill>
      </fill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bgColor auto="1"/>
        </patternFill>
      </fill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theme="2" tint="-0.499984740745262"/>
        <name val="Aptos Narrow"/>
        <family val="2"/>
        <scheme val="minor"/>
      </font>
      <alignment horizontal="center" textRotation="0" wrapText="1" indent="0" justifyLastLine="0" shrinkToFit="0" readingOrder="0"/>
      <border diagonalUp="0" diagonalDown="0" outline="0">
        <left style="thin">
          <color indexed="64"/>
        </left>
        <right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  <border outline="0">
        <right style="thin">
          <color indexed="64"/>
        </right>
      </border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21" formatCode="dd\-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numFmt numFmtId="30" formatCode="@"/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1" formatCode="dd\-mm\-yy"/>
      <alignment horizontal="left" vertical="bottom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alignment vertical="bottom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fill>
        <patternFill patternType="none"/>
      </fill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2" tint="-0.499984740745262"/>
        <name val="Arial"/>
        <family val="2"/>
        <scheme val="none"/>
      </font>
      <numFmt numFmtId="0" formatCode="General"/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color theme="1"/>
        <name val="Arial"/>
        <family val="2"/>
        <scheme val="none"/>
      </font>
      <numFmt numFmtId="0" formatCode="General"/>
      <fill>
        <patternFill patternType="none"/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1" formatCode="dd\-mm\-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numFmt numFmtId="30" formatCode="@"/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1" formatCode="dd\-mmm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1" formatCode="dd\-mm\-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numFmt numFmtId="167" formatCode="dd/mm/yy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7" formatCode="dd/mm/yy"/>
      <alignment horizontal="left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71" formatCode="dd\-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strike val="0"/>
        <outline val="0"/>
        <shadow val="0"/>
        <u val="none"/>
        <vertAlign val="baseline"/>
        <sz val="16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rgb="FF000000"/>
        <name val="Arial"/>
        <family val="2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1" formatCode="dd\-mmm"/>
    </dxf>
    <dxf>
      <alignment horizontal="center" textRotation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medium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alignment vertical="center" textRotation="0" wrapText="1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alignment horizontal="center" vertical="bottom" textRotation="0" wrapText="1" indent="0" justifyLastLine="0" shrinkToFit="0" readingOrder="0"/>
      <border diagonalUp="0" diagonalDown="0">
        <left/>
        <right/>
        <top/>
        <bottom style="thin">
          <color indexed="64"/>
        </bottom>
        <vertical/>
        <horizontal/>
      </border>
    </dxf>
    <dxf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ill>
        <patternFill patternType="none">
          <bgColor auto="1"/>
        </patternFill>
      </fill>
      <alignment horizontal="center" vertical="bottom" textRotation="0" wrapText="1" indent="0" justifyLastLine="0" shrinkToFit="0" readingOrder="0"/>
      <extLst>
        <ext xmlns:xfpb="http://schemas.microsoft.com/office/spreadsheetml/2022/featurepropertybag" uri="{0417FA29-78FA-4A13-93AC-8FF0FAFDF519}">
          <xfpb:DXFComplement i="1"/>
        </ext>
      </extLst>
    </dxf>
    <dxf>
      <fill>
        <patternFill patternType="none">
          <bgColor auto="1"/>
        </patternFill>
      </fill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6"/>
        <color theme="1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4" formatCode="_-&quot;£&quot;* #,##0.00_-;\-&quot;£&quot;* #,##0.00_-;_-&quot;£&quot;* &quot;-&quot;??_-;_-@_-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4" formatCode="_-&quot;£&quot;* #,##0.00_-;\-&quot;£&quot;* #,##0.00_-;_-&quot;£&quot;* &quot;-&quot;??_-;_-@_-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34" formatCode="_-&quot;£&quot;* #,##0.00_-;\-&quot;£&quot;* #,##0.00_-;_-&quot;£&quot;* &quot;-&quot;??_-;_-@_-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numFmt numFmtId="0" formatCode="General"/>
    </dxf>
    <dxf>
      <border outline="0">
        <left style="medium">
          <color indexed="64"/>
        </left>
        <right style="medium">
          <color indexed="64"/>
        </right>
      </border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0" formatCode="General"/>
      <fill>
        <patternFill patternType="solid">
          <fgColor indexed="64"/>
          <bgColor theme="5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thin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</font>
    </dxf>
    <dxf>
      <font>
        <strike val="0"/>
        <outline val="0"/>
        <shadow val="0"/>
        <vertAlign val="baseline"/>
        <sz val="12"/>
      </font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"/>
        <family val="2"/>
        <scheme val="none"/>
      </font>
      <fill>
        <patternFill patternType="solid">
          <fgColor indexed="64"/>
          <bgColor theme="6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1" formatCode="dd\-mmm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1" formatCode="dd\-mmm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1" formatCode="dd\-mmm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1" formatCode="dd\-mmm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1" defaultTableStyle="TableStyleMedium2" defaultPivotStyle="PivotStyleLight16">
    <tableStyle name="Table Style 1" pivot="0" count="0" xr9:uid="{85D01C32-6496-4286-9FFB-CA8DD1CA96EB}"/>
  </tableStyles>
  <colors>
    <mruColors>
      <color rgb="FFFF5B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owerPivotData" Target="model/item.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ttendance.xlsx" TargetMode="External"/><Relationship Id="rId2" Type="http://schemas.openxmlformats.org/officeDocument/2006/relationships/externalLinkPath" Target="https://d.docs.live.net/210BF0E34A1A610F/Attendance.xlsx" TargetMode="External"/><Relationship Id="rId1" Type="http://schemas.openxmlformats.org/officeDocument/2006/relationships/externalLinkPath" Target="/210BF0E34A1A610F/Attendance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Match%20Info.xlsx" TargetMode="External"/><Relationship Id="rId2" Type="http://schemas.openxmlformats.org/officeDocument/2006/relationships/externalLinkPath" Target="https://d.docs.live.net/210bf0e34a1a610f/Match%20Info.xlsx" TargetMode="External"/><Relationship Id="rId1" Type="http://schemas.openxmlformats.org/officeDocument/2006/relationships/externalLinkPath" Target="/210bf0e34a1a610f/Match%20Inf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XFControls"/>
  <bag type="XFComplement">
    <bagId k="XFControls">4</bagId>
  </bag>
  <bag type="DXFComplements" extRef="DXFComplementsMapperExtRef">
    <a k="MappedFeaturePropertyBags">
      <bagId>2</bagId>
      <bagId>5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0A05C28-85C8-434B-A8D3-366DFAD71D87}" name="Fixtures" displayName="Fixtures" ref="A1:I53" totalsRowShown="0" headerRowDxfId="139" dataDxfId="382">
  <autoFilter ref="A1:I53" xr:uid="{70A05C28-85C8-434B-A8D3-366DFAD71D8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2" xr3:uid="{872223D4-978B-4366-9DD4-4BD1DA4B54C1}" name="Date" dataDxfId="291"/>
    <tableColumn id="1" xr3:uid="{C3C488C5-196B-44A6-9F1E-FC5A3B7CE441}" name="Day" dataDxfId="264">
      <calculatedColumnFormula>Fixtures[[#This Row],[Date]]</calculatedColumnFormula>
    </tableColumn>
    <tableColumn id="3" xr3:uid="{ADF815B8-A963-412B-B41A-3FDF2415C989}" name="Opposition" dataDxfId="297"/>
    <tableColumn id="4" xr3:uid="{2BD35B28-2CC0-4D7E-9971-62288B587A3A}" name="Competition" dataDxfId="381"/>
    <tableColumn id="5" xr3:uid="{BEF31166-77A3-4E67-A0F8-6E96084A3A1C}" name="Home / Away" dataDxfId="380"/>
    <tableColumn id="9" xr3:uid="{E6F0FDB0-95D9-4D36-9D52-84833108453E}" name="Postponed" dataDxfId="379"/>
    <tableColumn id="6" xr3:uid="{5770A56C-2566-482E-8CD7-8AD3491626FD}" name="Goals For" dataDxfId="378"/>
    <tableColumn id="7" xr3:uid="{D3CE782A-AD40-4EF1-98FE-91377F000E25}" name="Goals Against" dataDxfId="377"/>
    <tableColumn id="8" xr3:uid="{12C9CC26-7FEB-4451-B013-B3D5EFA3EF4A}" name="Result" dataDxfId="376">
      <calculatedColumnFormula array="1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620715-80BF-42EF-A039-4D680C36C306}" name="Goals" displayName="Goals" ref="A1:AC54" totalsRowCount="1" headerRowDxfId="135" dataDxfId="332" totalsRowDxfId="331">
  <autoFilter ref="A1:AC53" xr:uid="{12620715-80BF-42EF-A039-4D680C36C3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sortState xmlns:xlrd2="http://schemas.microsoft.com/office/spreadsheetml/2017/richdata2" ref="A2:Y53">
    <sortCondition ref="A1:A53"/>
  </sortState>
  <tableColumns count="29">
    <tableColumn id="2" xr3:uid="{A98C0D02-BC89-4ECF-B33C-A124ED8E706B}" name="Date" dataDxfId="290" totalsRowDxfId="266"/>
    <tableColumn id="1" xr3:uid="{23FE6EC1-C850-4136-80B8-BC78D5EA014B}" name="Opposition" totalsRowLabel="Total" dataDxfId="263" totalsRowDxfId="265">
      <calculatedColumnFormula>Fixtures[[#This Row],[Opposition]]</calculatedColumnFormula>
    </tableColumn>
    <tableColumn id="3" xr3:uid="{02DFAF61-DB6C-481C-9286-021980C707C8}" name="Alf M" totalsRowFunction="sum" dataDxfId="233"/>
    <tableColumn id="4" xr3:uid="{1AFC8F8A-C9AB-47CD-B46D-DAA73E0F8F23}" name="Alfie F" totalsRowFunction="sum" dataDxfId="232"/>
    <tableColumn id="5" xr3:uid="{734C6773-598B-479F-B831-AC4088DAC6A7}" name="Bailey" totalsRowFunction="sum" dataDxfId="231"/>
    <tableColumn id="6" xr3:uid="{246C56F9-67B7-4E2A-8108-2E6AD5C3DB4E}" name="Brad" totalsRowFunction="sum" dataDxfId="230"/>
    <tableColumn id="7" xr3:uid="{22FDB13D-3D39-4F9B-9B8A-45D4085C4DB9}" name="Callum" totalsRowFunction="sum" dataDxfId="229"/>
    <tableColumn id="8" xr3:uid="{B5193A80-716D-4BCC-9C9B-357409A8F795}" name="Danny" totalsRowFunction="sum" dataDxfId="228"/>
    <tableColumn id="9" xr3:uid="{25FA0670-077D-4974-8855-099E7050A39C}" name="Ethan" totalsRowFunction="sum" dataDxfId="227"/>
    <tableColumn id="10" xr3:uid="{BFB02B1F-4654-4919-ADDE-29FC6948723F}" name="Freddie" totalsRowFunction="sum" dataDxfId="226"/>
    <tableColumn id="11" xr3:uid="{53544993-C814-479A-82F2-DE9C7CAD382F}" name="George" totalsRowFunction="sum" dataDxfId="225"/>
    <tableColumn id="12" xr3:uid="{FC5B731C-C8F7-475F-A0B9-855870FB74D0}" name="Jamie" totalsRowFunction="sum" dataDxfId="224"/>
    <tableColumn id="13" xr3:uid="{B35BC278-86ED-4248-9772-6DE8CE6CE7EA}" name="Jay" totalsRowFunction="sum" dataDxfId="223"/>
    <tableColumn id="14" xr3:uid="{6C1830CF-B1AF-43AB-B979-AE382C16BA86}" name="Joe" totalsRowFunction="sum" dataDxfId="222"/>
    <tableColumn id="15" xr3:uid="{3E29DFA5-9B3B-42AC-BA98-642317730F5D}" name="Josh" totalsRowFunction="sum" dataDxfId="221"/>
    <tableColumn id="16" xr3:uid="{8428456E-54DB-484E-9FF0-2136A6AFA9D3}" name="Jude" totalsRowFunction="sum" dataDxfId="220"/>
    <tableColumn id="17" xr3:uid="{B57847CF-1E97-486C-BE5B-7653A6F6E5FA}" name="Kalan" totalsRowFunction="sum" dataDxfId="219"/>
    <tableColumn id="18" xr3:uid="{B6B6676E-9397-449B-A741-4E780B3931E3}" name="Kazeem" totalsRowFunction="sum" dataDxfId="218"/>
    <tableColumn id="25" xr3:uid="{3E23CDA6-DE39-8444-A597-08B8C99621C5}" name="Keiran D" totalsRowFunction="sum" dataDxfId="217"/>
    <tableColumn id="19" xr3:uid="{1FD1779A-3963-4103-AB63-8554977E1911}" name="Keiran R" totalsRowFunction="sum" dataDxfId="216"/>
    <tableColumn id="20" xr3:uid="{6DE643DC-1EE8-4881-B772-B4163B13DB26}" name="Liam" totalsRowFunction="sum" dataDxfId="215"/>
    <tableColumn id="21" xr3:uid="{A946DABB-36DD-427A-B965-3185590F9772}" name="Louie" totalsRowFunction="sum" dataDxfId="214"/>
    <tableColumn id="22" xr3:uid="{656E291B-690F-432C-92E5-65D49DB1DE47}" name="Rocco" totalsRowFunction="sum" dataDxfId="213"/>
    <tableColumn id="24" xr3:uid="{3C744C30-461C-433E-BD5E-94EEF548CB10}" name="Ronnie D" totalsRowFunction="sum" dataDxfId="212"/>
    <tableColumn id="23" xr3:uid="{75EED887-3CB6-42E0-9E3B-7DA05D6EFC16}" name="Ronnie T" totalsRowFunction="sum" dataDxfId="211"/>
    <tableColumn id="26" xr3:uid="{1094FE4F-DC11-4A6C-8B2F-6E091517BA3D}" name="Ryan" totalsRowFunction="sum" dataDxfId="210"/>
    <tableColumn id="27" xr3:uid="{7A70D859-B593-4143-B80F-25987D873196}" name="Ryeley" totalsRowFunction="sum" dataDxfId="209"/>
    <tableColumn id="28" xr3:uid="{C1FA3BF7-FED2-4B8D-8659-E4EB551154C4}" name="Will" totalsRowFunction="sum" dataDxfId="208"/>
    <tableColumn id="29" xr3:uid="{92965FC3-F0C4-4ADC-A982-5F1165F41FBC}" name="count" totalsRowFunction="sum" dataDxfId="207">
      <calculatedColumnFormula>SUM(Goals[[#This Row],[Alf M]:[Will]])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1F1E30-844F-49AB-ABB9-B935FE757ED4}" name="Assists" displayName="Assists" ref="A1:AC54" totalsRowCount="1" headerRowDxfId="136" dataDxfId="183" totalsRowDxfId="182">
  <autoFilter ref="A1:AC53" xr:uid="{12620715-80BF-42EF-A039-4D680C36C3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</autoFilter>
  <tableColumns count="29">
    <tableColumn id="2" xr3:uid="{1D41EEE1-A2D9-4CBB-B877-4A2D31B6D848}" name="Date" dataDxfId="180" totalsRowDxfId="181"/>
    <tableColumn id="1" xr3:uid="{32967A42-C7B6-4C80-A309-E8006FF64D63}" name="Opposition" totalsRowLabel="Total" dataDxfId="178" totalsRowDxfId="179">
      <calculatedColumnFormula>Fixtures[[#This Row],[Opposition]]</calculatedColumnFormula>
    </tableColumn>
    <tableColumn id="3" xr3:uid="{A4817634-DBEB-41AC-A899-B01CCA1EFC1D}" name="Alf M" totalsRowFunction="sum" dataDxfId="206" totalsRowDxfId="165"/>
    <tableColumn id="4" xr3:uid="{AA8BFC44-5E43-4455-8B93-4F46FC5146CA}" name="Alfie F" totalsRowFunction="sum" dataDxfId="205" totalsRowDxfId="164"/>
    <tableColumn id="5" xr3:uid="{B97D6166-CFA2-4F35-873B-4437DE14A13B}" name="Bailey" totalsRowFunction="sum" dataDxfId="204" totalsRowDxfId="163"/>
    <tableColumn id="6" xr3:uid="{4B4C6F47-CE24-4DCF-8354-C374BCDEBDBC}" name="Brad" totalsRowFunction="sum" dataDxfId="203" totalsRowDxfId="162"/>
    <tableColumn id="7" xr3:uid="{6E27B1AF-2CA2-4C56-BE99-7F4EB37ED2A8}" name="Callum" totalsRowFunction="sum" dataDxfId="202" totalsRowDxfId="161"/>
    <tableColumn id="8" xr3:uid="{56FDF370-04BB-49C4-9B9F-43056B5B9BDE}" name="Danny" totalsRowFunction="sum" dataDxfId="201" totalsRowDxfId="160"/>
    <tableColumn id="9" xr3:uid="{0B20BE8D-5832-4927-93CE-04999D93BC7F}" name="Ethan" totalsRowFunction="sum" dataDxfId="200" totalsRowDxfId="159"/>
    <tableColumn id="10" xr3:uid="{78C2551E-D931-4195-8729-E0D8C5E09CB6}" name="Freddie" totalsRowFunction="sum" dataDxfId="199" totalsRowDxfId="158"/>
    <tableColumn id="11" xr3:uid="{BD0B9A01-D074-4C3B-A068-23944BEB93AC}" name="George" totalsRowFunction="sum" dataDxfId="198" totalsRowDxfId="157"/>
    <tableColumn id="12" xr3:uid="{65B790D6-6FD6-444B-9D50-2CAD571E8AD9}" name="Jamie" totalsRowFunction="sum" dataDxfId="197" totalsRowDxfId="156"/>
    <tableColumn id="13" xr3:uid="{23BD272C-070D-4681-8660-BEA360E495B7}" name="Jay" totalsRowFunction="sum" dataDxfId="196" totalsRowDxfId="155"/>
    <tableColumn id="14" xr3:uid="{FF6A2379-32A8-4F40-8CD8-EC8F462344EE}" name="Joe" totalsRowFunction="sum" dataDxfId="195" totalsRowDxfId="154"/>
    <tableColumn id="15" xr3:uid="{A82A2925-961B-4977-8B7C-716C437264E2}" name="Josh" totalsRowFunction="sum" dataDxfId="194" totalsRowDxfId="153"/>
    <tableColumn id="16" xr3:uid="{3CE94ECD-77E4-423C-A359-F683E416DEC1}" name="Jude" totalsRowFunction="sum" dataDxfId="193" totalsRowDxfId="152"/>
    <tableColumn id="17" xr3:uid="{128FA441-323A-4E30-80B1-158B6F52DA80}" name="Kalan" totalsRowFunction="sum" dataDxfId="192" totalsRowDxfId="151"/>
    <tableColumn id="18" xr3:uid="{8E91ECB5-A0BF-4343-A704-FE3A3645B051}" name="Kazeem" totalsRowFunction="sum" dataDxfId="191" totalsRowDxfId="150"/>
    <tableColumn id="25" xr3:uid="{43D69DD8-A5E6-4519-B02A-856373CFB409}" name="Keiran D" totalsRowFunction="sum" dataDxfId="190" totalsRowDxfId="149"/>
    <tableColumn id="19" xr3:uid="{93BD20DF-8F19-4F48-94D8-6FF2FDC8224C}" name="Keiran R" totalsRowFunction="sum" dataDxfId="189" totalsRowDxfId="148"/>
    <tableColumn id="20" xr3:uid="{DC90DEDA-10A7-4929-82AC-E7F33E6717B5}" name="Liam" totalsRowFunction="sum" dataDxfId="188" totalsRowDxfId="147"/>
    <tableColumn id="26" xr3:uid="{789CFD4A-8565-4604-85BE-6FCFE3160514}" name="Louie" dataDxfId="177"/>
    <tableColumn id="27" xr3:uid="{AA9DBA96-AEC3-4E1C-982E-B57B4819ADF8}" name="Rocco" dataDxfId="176"/>
    <tableColumn id="28" xr3:uid="{DBCC8607-2F3F-431B-9947-29DB6230B03E}" name="Ronnie D" dataDxfId="175"/>
    <tableColumn id="21" xr3:uid="{6822D0BD-335B-44EC-A5A3-26E4329B5CAA}" name="Ronnie T" totalsRowFunction="sum" dataDxfId="187" totalsRowDxfId="146"/>
    <tableColumn id="29" xr3:uid="{84D72749-DE7B-4F73-A73E-33C032FB41EF}" name="Ryan" dataDxfId="174"/>
    <tableColumn id="22" xr3:uid="{094BB883-E118-4747-912B-9CCFDEEE9FAC}" name="Ryeley" totalsRowFunction="sum" dataDxfId="186" totalsRowDxfId="145"/>
    <tableColumn id="24" xr3:uid="{366CF4C5-AC47-4BF0-9CE4-6AB7E3152DD2}" name="Will" totalsRowFunction="sum" dataDxfId="185" totalsRowDxfId="144"/>
    <tableColumn id="23" xr3:uid="{67F4C621-47E8-4AF6-BFD4-0C054417AB73}" name="Count" totalsRowFunction="sum" dataDxfId="184" totalsRowDxfId="143">
      <calculatedColumnFormula>SUM(Assists[[#This Row],[Alf M]:[Will]])</calculatedColumnFormula>
    </tableColumn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C00D839-EDC8-4AF8-BCF9-F6DF4CD27C44}" name="Events" displayName="Events" ref="A1:AB53" totalsRowShown="0" headerRowDxfId="137" dataDxfId="296" totalsRowDxfId="295" headerRowBorderDxfId="260" tableBorderDxfId="261" totalsRowBorderDxfId="259">
  <autoFilter ref="A1:AB53" xr:uid="{12620715-80BF-42EF-A039-4D680C36C3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</autoFilter>
  <tableColumns count="28">
    <tableColumn id="2" xr3:uid="{E9EEB8AF-0C7E-430F-A254-E499B83A18DE}" name="Date" dataDxfId="258" totalsRowDxfId="289"/>
    <tableColumn id="1" xr3:uid="{8E4F0F2D-6153-4C8E-8415-269555E7AF3E}" name="Opposition" dataDxfId="257" totalsRowDxfId="262">
      <calculatedColumnFormula>Fixtures[[#This Row],[Opposition]]</calculatedColumnFormula>
    </tableColumn>
    <tableColumn id="3" xr3:uid="{4110CC7C-5A4E-4E5A-A2F2-D60D8345A3CF}" name="Alf M" dataDxfId="256" totalsRowDxfId="288"/>
    <tableColumn id="4" xr3:uid="{F16727A4-7705-4C32-B4AA-4A3CF6FA8E53}" name="Alfie F" dataDxfId="255" totalsRowDxfId="287"/>
    <tableColumn id="5" xr3:uid="{B290DC3B-C9B0-4DB4-9DC9-4DE48841C653}" name="Bailey" dataDxfId="254" totalsRowDxfId="286"/>
    <tableColumn id="6" xr3:uid="{B3B72890-A82E-41FB-8598-D742463134D5}" name="Brad" dataDxfId="253" totalsRowDxfId="285"/>
    <tableColumn id="7" xr3:uid="{88AE2DC7-C56F-492E-BCFD-8062925C8704}" name="Callum" dataDxfId="252" totalsRowDxfId="284"/>
    <tableColumn id="8" xr3:uid="{290F5A7B-4DCD-415B-A1EE-50D4D6240AE5}" name="Danny" dataDxfId="251" totalsRowDxfId="283"/>
    <tableColumn id="9" xr3:uid="{5DB08A72-E085-4446-9684-0036279F620F}" name="Ethan" dataDxfId="250" totalsRowDxfId="282"/>
    <tableColumn id="10" xr3:uid="{A7CCC837-FC31-4DFA-8FD4-A3C18038C491}" name="Freddie" dataDxfId="249" totalsRowDxfId="281"/>
    <tableColumn id="11" xr3:uid="{BA998F76-DAF3-47A5-B16F-4ECAE4FEADA7}" name="George" dataDxfId="248" totalsRowDxfId="280"/>
    <tableColumn id="12" xr3:uid="{A24B087C-3A45-48AC-B369-020B1EA63C9F}" name="Jamie" dataDxfId="247" totalsRowDxfId="279"/>
    <tableColumn id="13" xr3:uid="{3070028E-3B70-4991-A583-6A2F90658CE3}" name="Jay" dataDxfId="246" totalsRowDxfId="278"/>
    <tableColumn id="14" xr3:uid="{A35754F7-037C-473B-A7F6-E8AF452A5727}" name="Joe" dataDxfId="245" totalsRowDxfId="277"/>
    <tableColumn id="15" xr3:uid="{E4B559CF-E3CA-4688-A226-87D8434FE11F}" name="Josh" dataDxfId="244" totalsRowDxfId="276"/>
    <tableColumn id="16" xr3:uid="{9F02E3FD-A653-4720-9C86-EAC124C29BB3}" name="Jude" dataDxfId="243" totalsRowDxfId="275"/>
    <tableColumn id="17" xr3:uid="{688D8E1F-41CE-44DA-8C57-968F780D7305}" name="Kalan" dataDxfId="242" totalsRowDxfId="274"/>
    <tableColumn id="18" xr3:uid="{41E69431-2FEE-46AD-BE4B-7A69EC3F0532}" name="Kazeem" dataDxfId="241" totalsRowDxfId="273"/>
    <tableColumn id="25" xr3:uid="{3F38CB97-BA86-4083-BC29-65506FC3EC2A}" name="Keiran D" dataDxfId="240" totalsRowDxfId="272"/>
    <tableColumn id="23" xr3:uid="{2C4C7053-7C42-4A5E-88B4-D633FAF3663A}" name="Keiran R" dataDxfId="169" totalsRowDxfId="173"/>
    <tableColumn id="26" xr3:uid="{3B14225E-CDE5-44E6-9B31-E0E7495AAA30}" name="Liam" dataDxfId="168" totalsRowDxfId="172"/>
    <tableColumn id="27" xr3:uid="{07179B4C-2C15-473A-B2E3-C414A707C430}" name="Louie" dataDxfId="167" totalsRowDxfId="171"/>
    <tableColumn id="28" xr3:uid="{A1D5AB46-FBAE-4BA8-8A6B-585DAA3E5DA7}" name="Rocco" dataDxfId="166" totalsRowDxfId="170"/>
    <tableColumn id="19" xr3:uid="{C92278F3-C1A8-484E-8931-5DFBB69F63DD}" name="Ronnie D" dataDxfId="239" totalsRowDxfId="271"/>
    <tableColumn id="20" xr3:uid="{C2A9E382-6602-4B70-B201-5DCB50E722CB}" name="Ronnie T" dataDxfId="238" totalsRowDxfId="270"/>
    <tableColumn id="21" xr3:uid="{30806CD6-C11B-4867-8681-3FF776288D35}" name="Ryan" dataDxfId="237" totalsRowDxfId="269"/>
    <tableColumn id="22" xr3:uid="{BE7BABD7-7D74-4226-BBAA-573972787A65}" name="Ryeley" dataDxfId="236" totalsRowDxfId="268"/>
    <tableColumn id="24" xr3:uid="{41A5AF2C-655E-45D2-B10D-0679C1F8C90B}" name="Will" dataDxfId="235" totalsRowDxfId="267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184A95-66F2-6E4A-982B-2676BCE7EA05}" name="Match_Attendance" displayName="Match_Attendance" ref="A1:AD54" totalsRowCount="1" headerRowDxfId="138" dataDxfId="330" totalsRowDxfId="101">
  <autoFilter ref="A1:AD53" xr:uid="{12620715-80BF-42EF-A039-4D680C36C3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</autoFilter>
  <sortState xmlns:xlrd2="http://schemas.microsoft.com/office/spreadsheetml/2017/richdata2" ref="A2:Y39">
    <sortCondition ref="A1:A39"/>
  </sortState>
  <tableColumns count="30">
    <tableColumn id="2" xr3:uid="{D1B2D185-9DCF-FB47-B2EE-D504A1B919CD}" name="Date" dataDxfId="132" totalsRowDxfId="100">
      <calculatedColumnFormula>Fixtures[[#This Row],[Date]]</calculatedColumnFormula>
    </tableColumn>
    <tableColumn id="30" xr3:uid="{9990031B-6EB2-4BAF-B720-D9083670B933}" name="Day" dataDxfId="142" totalsRowDxfId="130">
      <calculatedColumnFormula>Match_Attendance[[#This Row],[Date]]</calculatedColumnFormula>
    </tableColumn>
    <tableColumn id="1" xr3:uid="{0268FF7C-57E9-CA46-8FF7-695BF64B9282}" name="Opposition" totalsRowLabel="Total" dataDxfId="131" totalsRowDxfId="129">
      <calculatedColumnFormula>Fixtures[[#This Row],[Opposition]]</calculatedColumnFormula>
    </tableColumn>
    <tableColumn id="3" xr3:uid="{2B72B6C0-8A6F-554E-9CD5-533B844969F9}" name="Alf M" totalsRowFunction="custom" dataDxfId="234" totalsRowDxfId="128">
      <totalsRowFormula>COUNTIF(Match_Attendance[Alf M],TRUE)</totalsRowFormula>
    </tableColumn>
    <tableColumn id="4" xr3:uid="{8574D1D6-35A7-0549-AEA1-A048E836CEB6}" name="Alfie F" totalsRowFunction="custom" dataDxfId="329" totalsRowDxfId="127">
      <totalsRowFormula>COUNTIF(Match_Attendance[Alfie F],TRUE)</totalsRowFormula>
    </tableColumn>
    <tableColumn id="5" xr3:uid="{9174E3C0-C516-8F4E-9127-521606F19B8A}" name="Bailey" totalsRowFunction="custom" dataDxfId="328" totalsRowDxfId="126">
      <totalsRowFormula>COUNTIF(Match_Attendance[Bailey],TRUE)</totalsRowFormula>
    </tableColumn>
    <tableColumn id="6" xr3:uid="{40D7BCF1-B049-DB46-96C1-DB5DDE0B166F}" name="Brad" totalsRowFunction="custom" dataDxfId="327" totalsRowDxfId="125">
      <totalsRowFormula>COUNTIF(Match_Attendance[Brad],TRUE)</totalsRowFormula>
    </tableColumn>
    <tableColumn id="7" xr3:uid="{421B22A1-51FF-BC49-ABFC-5E178AECFD69}" name="Callum" totalsRowFunction="custom" dataDxfId="326" totalsRowDxfId="124">
      <totalsRowFormula>COUNTIF(Match_Attendance[Callum],TRUE)</totalsRowFormula>
    </tableColumn>
    <tableColumn id="8" xr3:uid="{7E3DF9C1-7C84-1840-9178-E7E5EE5395D5}" name="Danny" totalsRowFunction="custom" dataDxfId="325" totalsRowDxfId="123">
      <totalsRowFormula>COUNTIF(Match_Attendance[Danny],TRUE)</totalsRowFormula>
    </tableColumn>
    <tableColumn id="9" xr3:uid="{336DF925-5073-1448-A7B4-D5F5BC7BF484}" name="Ethan" totalsRowFunction="custom" dataDxfId="324" totalsRowDxfId="122">
      <totalsRowFormula>COUNTIF(Match_Attendance[Ethan],TRUE)</totalsRowFormula>
    </tableColumn>
    <tableColumn id="10" xr3:uid="{6621347E-3150-9E49-B40F-024857ED72FC}" name="Freddie" totalsRowFunction="custom" dataDxfId="323" totalsRowDxfId="121">
      <totalsRowFormula>COUNTIF(Match_Attendance[Freddie],TRUE)</totalsRowFormula>
    </tableColumn>
    <tableColumn id="11" xr3:uid="{A4837912-CADF-7A44-9090-F26D65C3B19F}" name="George" totalsRowFunction="custom" dataDxfId="322" totalsRowDxfId="120">
      <totalsRowFormula>COUNTIF(Match_Attendance[George],TRUE)</totalsRowFormula>
    </tableColumn>
    <tableColumn id="12" xr3:uid="{0EA45558-468F-C24E-8670-7AAD6546794C}" name="Jamie" totalsRowFunction="custom" dataDxfId="321" totalsRowDxfId="119">
      <totalsRowFormula>COUNTIF(Match_Attendance[Jamie],TRUE)</totalsRowFormula>
    </tableColumn>
    <tableColumn id="13" xr3:uid="{09DA77CD-FCD4-C84B-BFEB-C69085EFFBE0}" name="Jay" totalsRowFunction="custom" dataDxfId="320" totalsRowDxfId="118">
      <totalsRowFormula>COUNTIF(Match_Attendance[Jay],TRUE)</totalsRowFormula>
    </tableColumn>
    <tableColumn id="14" xr3:uid="{B8EBA6C2-4A56-B646-8959-555A9F044044}" name="Joe" totalsRowFunction="custom" dataDxfId="319" totalsRowDxfId="117">
      <totalsRowFormula>COUNTIF(Match_Attendance[Joe],TRUE)</totalsRowFormula>
    </tableColumn>
    <tableColumn id="15" xr3:uid="{02693AFD-7432-034D-B8CB-F549E948957C}" name="Josh" totalsRowFunction="custom" dataDxfId="318" totalsRowDxfId="116">
      <totalsRowFormula>COUNTIF(Match_Attendance[Josh],TRUE)</totalsRowFormula>
    </tableColumn>
    <tableColumn id="16" xr3:uid="{9B60B60F-F4C2-734E-A573-2797394CA6A3}" name="Jude" totalsRowFunction="custom" dataDxfId="317" totalsRowDxfId="115">
      <totalsRowFormula>COUNTIF(Match_Attendance[Jude],TRUE)</totalsRowFormula>
    </tableColumn>
    <tableColumn id="17" xr3:uid="{8D47BB3E-B260-FA4B-9EDF-ED60BE99968D}" name="Kalan" totalsRowFunction="custom" dataDxfId="316" totalsRowDxfId="114">
      <totalsRowFormula>COUNTIF(Match_Attendance[Kalan],TRUE)</totalsRowFormula>
    </tableColumn>
    <tableColumn id="18" xr3:uid="{5182FCCE-56A2-814A-A4A1-43FE4B43612C}" name="Kazeem" totalsRowFunction="custom" dataDxfId="315" totalsRowDxfId="113">
      <totalsRowFormula>COUNTIF(Match_Attendance[Kazeem],TRUE)</totalsRowFormula>
    </tableColumn>
    <tableColumn id="25" xr3:uid="{24AA449C-49E6-4D43-8588-5133D1DB81DA}" name="Keiran D" totalsRowFunction="custom" dataDxfId="314" totalsRowDxfId="112">
      <totalsRowFormula>COUNTIF(Match_Attendance[Keiran D],TRUE)</totalsRowFormula>
    </tableColumn>
    <tableColumn id="19" xr3:uid="{6D8BBA3E-3AD0-4C4B-A497-78FBDFD1E5C8}" name="Keiran R" totalsRowFunction="custom" dataDxfId="313" totalsRowDxfId="111">
      <totalsRowFormula>COUNTIF(Match_Attendance[Keiran R],TRUE)</totalsRowFormula>
    </tableColumn>
    <tableColumn id="20" xr3:uid="{B81E8BBB-AB53-2549-B483-0492B4011169}" name="Liam" totalsRowFunction="custom" dataDxfId="312" totalsRowDxfId="110">
      <totalsRowFormula>COUNTIF(Match_Attendance[Liam],TRUE)</totalsRowFormula>
    </tableColumn>
    <tableColumn id="21" xr3:uid="{39991BF4-568B-D44D-B512-8FE1578C913E}" name="Louie" totalsRowFunction="custom" dataDxfId="311" totalsRowDxfId="109">
      <totalsRowFormula>COUNTIF(Match_Attendance[Louie],TRUE)</totalsRowFormula>
    </tableColumn>
    <tableColumn id="22" xr3:uid="{C7B72E0E-9560-274A-9CB3-6499FAA847F2}" name="Rocco" totalsRowFunction="custom" dataDxfId="310" totalsRowDxfId="108">
      <totalsRowFormula>COUNTIF(Match_Attendance[Rocco],TRUE)</totalsRowFormula>
    </tableColumn>
    <tableColumn id="24" xr3:uid="{7AAA187B-AD03-5E4E-8EA9-4DAE607CF563}" name="Ronnie D" totalsRowFunction="custom" dataDxfId="309" totalsRowDxfId="107">
      <totalsRowFormula>COUNTIF(Match_Attendance[Ronnie D],TRUE)</totalsRowFormula>
    </tableColumn>
    <tableColumn id="27" xr3:uid="{0F66BAE5-5476-45B4-8F20-B7D9F95BCE06}" name="Ronnie T" totalsRowFunction="custom" dataDxfId="294" totalsRowDxfId="106">
      <totalsRowFormula>COUNTIF(Match_Attendance[Ronnie T],TRUE)</totalsRowFormula>
    </tableColumn>
    <tableColumn id="28" xr3:uid="{2E8EB646-0B16-4F60-B9AB-8E4044AF712D}" name="Ryan" totalsRowFunction="custom" dataDxfId="293" totalsRowDxfId="105">
      <totalsRowFormula>COUNTIF(Match_Attendance[Ryan],TRUE)</totalsRowFormula>
    </tableColumn>
    <tableColumn id="29" xr3:uid="{E008AFB0-E565-482D-A5B9-1DAC91345BE6}" name="Ryeley" totalsRowFunction="custom" dataDxfId="292" totalsRowDxfId="104">
      <totalsRowFormula>COUNTIF(Match_Attendance[Ryeley],TRUE)</totalsRowFormula>
    </tableColumn>
    <tableColumn id="26" xr3:uid="{17B1B7EC-60C6-45F4-97CD-02FA8D0A5BF8}" name="Will" totalsRowFunction="custom" dataDxfId="141" totalsRowDxfId="103">
      <totalsRowFormula>COUNTIF(Match_Attendance[Will],TRUE)</totalsRowFormula>
    </tableColumn>
    <tableColumn id="23" xr3:uid="{9742824D-33EE-C241-9DA5-8A0B19506F8F}" name="COUNT" totalsRowFunction="sum" dataDxfId="140" totalsRowDxfId="102">
      <calculatedColumnFormula>COUNTIF(Match_Attendance[[#This Row],[Alf M]:[Ronnie D]],"Y")</calculatedColumnFormula>
    </tableColumn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D917D52-D003-4103-A3A6-20C5DD9AC79A}" name="Training_Attendance" displayName="Training_Attendance" ref="A1:AD54" totalsRowCount="1" headerRowDxfId="134" dataDxfId="133" totalsRowDxfId="36">
  <autoFilter ref="A1:AD53" xr:uid="{12620715-80BF-42EF-A039-4D680C36C30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</autoFilter>
  <sortState xmlns:xlrd2="http://schemas.microsoft.com/office/spreadsheetml/2017/richdata2" ref="A2:Y39">
    <sortCondition ref="A1:A39"/>
  </sortState>
  <tableColumns count="30">
    <tableColumn id="2" xr3:uid="{1E60E37F-BF14-410E-9189-EACEF374FD3C}" name="Date" dataDxfId="69" totalsRowDxfId="39"/>
    <tableColumn id="30" xr3:uid="{D02974D0-7D3B-4E16-B397-EB7D644E1A14}" name="Day" dataDxfId="68" totalsRowDxfId="38">
      <calculatedColumnFormula>Training_Attendance[[#This Row],[Date]]</calculatedColumnFormula>
    </tableColumn>
    <tableColumn id="1" xr3:uid="{8880A584-1902-4C46-99B1-55C0718E87C9}" name="Session" totalsRowLabel="Total Trained" dataDxfId="67" totalsRowDxfId="37">
      <calculatedColumnFormula>VLOOKUP(A2,'Monthly Fees'!#REF!,7)</calculatedColumnFormula>
    </tableColumn>
    <tableColumn id="3" xr3:uid="{4F187469-62F5-4218-8F22-6A2AEFA92F57}" name="Alf M" totalsRowFunction="custom" dataDxfId="66" totalsRowDxfId="35">
      <totalsRowFormula>COUNTIF(D2:D53, "Y")</totalsRowFormula>
    </tableColumn>
    <tableColumn id="4" xr3:uid="{BAA2AB54-CB82-4D7C-9BE4-A4574C05D945}" name="Alfie F" totalsRowFunction="custom" dataDxfId="65" totalsRowDxfId="34">
      <totalsRowFormula>COUNTIF(E2:E53, "Y")</totalsRowFormula>
    </tableColumn>
    <tableColumn id="5" xr3:uid="{8739407C-ED30-4AF9-9457-D0757BFEDE5F}" name="Bailey" totalsRowFunction="custom" dataDxfId="64" totalsRowDxfId="33">
      <totalsRowFormula>COUNTIF(F2:F53, "Y")</totalsRowFormula>
    </tableColumn>
    <tableColumn id="6" xr3:uid="{807804E3-0B9C-4E01-B203-430E8E4F1FEE}" name="Brad" totalsRowFunction="custom" dataDxfId="63" totalsRowDxfId="32">
      <totalsRowFormula>COUNTIF(G2:G53, "Y")</totalsRowFormula>
    </tableColumn>
    <tableColumn id="7" xr3:uid="{55EE3B68-C650-4B9B-A024-6BF7C3E05DBC}" name="Callum" totalsRowFunction="custom" dataDxfId="62" totalsRowDxfId="31">
      <totalsRowFormula>COUNTIF(H2:H53, "Y")</totalsRowFormula>
    </tableColumn>
    <tableColumn id="8" xr3:uid="{3A60F698-3D03-4C40-88DB-B0658A1F5690}" name="Danny" totalsRowFunction="custom" dataDxfId="61" totalsRowDxfId="30">
      <totalsRowFormula>COUNTIF(I2:I53, "Y")</totalsRowFormula>
    </tableColumn>
    <tableColumn id="9" xr3:uid="{BF14EFF2-08D4-4DE2-8E1E-956B9066EA52}" name="Ethan" totalsRowFunction="custom" dataDxfId="60" totalsRowDxfId="29">
      <totalsRowFormula>COUNTIF(J2:J53, "Y")</totalsRowFormula>
    </tableColumn>
    <tableColumn id="10" xr3:uid="{578BA95D-FFAE-4D47-A682-D63B66EAA68F}" name="Freddie" totalsRowFunction="custom" dataDxfId="59" totalsRowDxfId="28">
      <totalsRowFormula>COUNTIF(K2:K53, "Y")</totalsRowFormula>
    </tableColumn>
    <tableColumn id="11" xr3:uid="{6AD5CCDC-26FD-4D3E-B0FA-6160938FFCF7}" name="George" totalsRowFunction="custom" dataDxfId="58" totalsRowDxfId="27">
      <totalsRowFormula>COUNTIF(L2:L53, "Y")</totalsRowFormula>
    </tableColumn>
    <tableColumn id="12" xr3:uid="{D6DBAA7D-09B7-46FE-A70E-BB3053174D98}" name="Jamie" totalsRowFunction="custom" dataDxfId="57" totalsRowDxfId="26">
      <totalsRowFormula>COUNTIF(M2:M53, "Y")</totalsRowFormula>
    </tableColumn>
    <tableColumn id="13" xr3:uid="{A0D830D3-D8FB-4208-A360-22FB369CE742}" name="Jay" totalsRowFunction="custom" dataDxfId="56" totalsRowDxfId="25">
      <totalsRowFormula>COUNTIF(N2:N53, "Y")</totalsRowFormula>
    </tableColumn>
    <tableColumn id="14" xr3:uid="{08CEC17C-1909-4738-91E0-B0782512C74C}" name="Joe" totalsRowFunction="custom" dataDxfId="55" totalsRowDxfId="24">
      <totalsRowFormula>COUNTIF(O2:O53, "Y")</totalsRowFormula>
    </tableColumn>
    <tableColumn id="15" xr3:uid="{CF083C6E-FBD0-4366-B0B4-D62F7C1D34E2}" name="Josh" totalsRowFunction="custom" dataDxfId="54" totalsRowDxfId="23">
      <totalsRowFormula>COUNTIF(P2:P53, "Y")</totalsRowFormula>
    </tableColumn>
    <tableColumn id="16" xr3:uid="{AF8B54ED-196B-4C77-A5FB-B9AC56090FDE}" name="Jude" totalsRowFunction="custom" dataDxfId="53" totalsRowDxfId="22">
      <totalsRowFormula>COUNTIF(Q2:Q53, "Y")</totalsRowFormula>
    </tableColumn>
    <tableColumn id="17" xr3:uid="{C2A21BB5-2013-46CC-B8E1-89610FA3D459}" name="Kalan" totalsRowFunction="custom" dataDxfId="52" totalsRowDxfId="21">
      <totalsRowFormula>COUNTIF(R2:R53, "Y")</totalsRowFormula>
    </tableColumn>
    <tableColumn id="18" xr3:uid="{CE2B6A6D-DD1B-4882-881D-32DF02DFAF25}" name="Kazeem" totalsRowFunction="custom" dataDxfId="51" totalsRowDxfId="20">
      <totalsRowFormula>COUNTIF(S2:S53, "Y")</totalsRowFormula>
    </tableColumn>
    <tableColumn id="25" xr3:uid="{0B12FC78-1784-4146-B451-68CA2045A56A}" name="Keiran D" totalsRowFunction="custom" dataDxfId="50" totalsRowDxfId="19">
      <totalsRowFormula>COUNTIF(T2:T53, "Y")</totalsRowFormula>
    </tableColumn>
    <tableColumn id="19" xr3:uid="{12868FE8-B401-4998-9400-CC22A6FD28A5}" name="Keiran R" totalsRowFunction="custom" dataDxfId="49" totalsRowDxfId="18">
      <totalsRowFormula>COUNTIF(U2:U53, "Y")</totalsRowFormula>
    </tableColumn>
    <tableColumn id="20" xr3:uid="{1EBE36A0-EF37-4ED5-996C-46A7F3C10CD7}" name="Liam" totalsRowFunction="custom" dataDxfId="48" totalsRowDxfId="17">
      <totalsRowFormula>COUNTIF(V2:V53, "Y")</totalsRowFormula>
    </tableColumn>
    <tableColumn id="21" xr3:uid="{2D287493-566C-4896-A93A-A46943C84CCE}" name="Louie" totalsRowFunction="custom" dataDxfId="47" totalsRowDxfId="16">
      <totalsRowFormula>COUNTIF(W2:W53, "Y")</totalsRowFormula>
    </tableColumn>
    <tableColumn id="22" xr3:uid="{FF08637B-1245-414F-8BF1-CC92ABFDD971}" name="Rocco" totalsRowFunction="custom" dataDxfId="46" totalsRowDxfId="15">
      <totalsRowFormula>COUNTIF(X2:X53, "Y")</totalsRowFormula>
    </tableColumn>
    <tableColumn id="24" xr3:uid="{CD0AECB4-A559-4569-8690-DEA5BED21CBA}" name="Ronnie D" totalsRowFunction="custom" dataDxfId="45" totalsRowDxfId="14">
      <totalsRowFormula>COUNTIF(Y2:Y53, "Y")</totalsRowFormula>
    </tableColumn>
    <tableColumn id="27" xr3:uid="{4FC1F9DD-77A4-4908-9942-61412A8B7966}" name="Ronnie T" totalsRowFunction="custom" dataDxfId="44" totalsRowDxfId="13">
      <totalsRowFormula>COUNTIF(Z2:Z53, "Y")</totalsRowFormula>
    </tableColumn>
    <tableColumn id="28" xr3:uid="{3588B28C-B832-46B9-B8A5-0974ABCCDAA4}" name="Ryan" totalsRowFunction="custom" dataDxfId="43" totalsRowDxfId="12">
      <totalsRowFormula>COUNTIF(AA2:AA53, "Y")</totalsRowFormula>
    </tableColumn>
    <tableColumn id="29" xr3:uid="{F96B5D8E-8374-4F7B-A8F9-E584FBE756C4}" name="Ryeley" totalsRowFunction="custom" dataDxfId="42" totalsRowDxfId="11">
      <totalsRowFormula>COUNTIF(AB2:AB53, "Y")</totalsRowFormula>
    </tableColumn>
    <tableColumn id="26" xr3:uid="{4BD20510-04FD-4920-9EFA-B8410283BA4F}" name="Will" totalsRowFunction="custom" dataDxfId="41" totalsRowDxfId="10">
      <totalsRowFormula>COUNTIF(AC2:AC53, "Y")</totalsRowFormula>
    </tableColumn>
    <tableColumn id="23" xr3:uid="{784A3809-6141-47E2-8FBB-9470E2F9F38C}" name="COUNT" totalsRowFunction="sum" dataDxfId="40" totalsRowDxfId="9">
      <calculatedColumnFormula>COUNTIF(Training_Attendance[[#This Row],[Alf M]:[Ronnie D]],"Y")</calculatedColumnFormula>
    </tableColumn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9BFE95C-F3BE-415E-B51F-45FA8508631D}" name="Table17" displayName="Table17" ref="A1:I46" insertRowShift="1" totalsRowShown="0">
  <autoFilter ref="A1:I46" xr:uid="{79BFE95C-F3BE-415E-B51F-45FA8508631D}"/>
  <tableColumns count="9">
    <tableColumn id="1" xr3:uid="{5E34B39C-84B3-46C4-8622-A298CA2826C1}" name="Id">
      <calculatedColumnFormula>[2]!OfficeForms.Table[[#This Row],[Id]]</calculatedColumnFormula>
    </tableColumn>
    <tableColumn id="2" xr3:uid="{0CBF1D6D-7266-478B-90E2-7E08066A64D8}" name="Start time">
      <calculatedColumnFormula>[2]!OfficeForms.Table[[#This Row],[Start time]]</calculatedColumnFormula>
    </tableColumn>
    <tableColumn id="3" xr3:uid="{FA77963E-C4D2-4968-A555-56C4AD0C0C05}" name="Scorers">
      <calculatedColumnFormula>[2]!OfficeForms.Table[[#This Row],[Scorers]]</calculatedColumnFormula>
    </tableColumn>
    <tableColumn id="4" xr3:uid="{E18D691C-64A8-4B91-B0D2-10BFBE1C1DDC}" name="Assists">
      <calculatedColumnFormula>[2]!OfficeForms.Table[[#This Row],[Assists]]</calculatedColumnFormula>
    </tableColumn>
    <tableColumn id="5" xr3:uid="{3F398120-39C4-48F6-8E3D-9F0D236CE272}" name="Penalties">
      <calculatedColumnFormula>[2]!OfficeForms.Table[[#This Row],[Penalties]]</calculatedColumnFormula>
    </tableColumn>
    <tableColumn id="6" xr3:uid="{2DFAB5D8-2550-4466-B35F-CBD522001492}" name="Freekicks">
      <calculatedColumnFormula>[2]!OfficeForms.Table[[#This Row],[Freekicks]]</calculatedColumnFormula>
    </tableColumn>
    <tableColumn id="7" xr3:uid="{7536B9D0-E90F-442B-9782-958B404B2EE2}" name="Yellow Card - Sin Bin">
      <calculatedColumnFormula>[2]!OfficeForms.Table[[#This Row],[Yellow Card - Sin Bin]]</calculatedColumnFormula>
    </tableColumn>
    <tableColumn id="8" xr3:uid="{E5422C59-EF9C-432F-A3EF-36E765307826}" name="Yellow Card">
      <calculatedColumnFormula>[2]!OfficeForms.Table[[#This Row],[Yellow Card]]</calculatedColumnFormula>
    </tableColumn>
    <tableColumn id="9" xr3:uid="{1E72E6A4-BD70-4163-8D08-79510EC66E81}" name="Red Card">
      <calculatedColumnFormula>[2]!OfficeForms.Table[[#This Row],[Red Card]]</calculatedColumnFormula>
    </tableColumn>
  </tableColumns>
  <tableStyleInfo name="Table Style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BB2F209-09FE-4750-8ECC-FDC4E10A73B3}" name="Monthly_Fees" displayName="Monthly_Fees" ref="A1:M28" totalsRowCount="1" headerRowDxfId="375" dataDxfId="374" totalsRowDxfId="372" tableBorderDxfId="373" dataCellStyle="Currency">
  <autoFilter ref="A1:M27" xr:uid="{0BB2F209-09FE-4750-8ECC-FDC4E10A73B3}"/>
  <sortState xmlns:xlrd2="http://schemas.microsoft.com/office/spreadsheetml/2017/richdata2" ref="A2:K29">
    <sortCondition ref="A1:A29"/>
  </sortState>
  <tableColumns count="13">
    <tableColumn id="2" xr3:uid="{795DB182-6C01-42E7-B078-7792BE72086B}" name="Name" totalsRowLabel="Total" dataDxfId="371" totalsRowDxfId="99">
      <calculatedColumnFormula>Squad!A2</calculatedColumnFormula>
    </tableColumn>
    <tableColumn id="13" xr3:uid="{D76506C7-43E5-4E91-97AC-E4C97F37DD2B}" name="Sept" totalsRowFunction="sum" dataDxfId="370" totalsRowDxfId="98" dataCellStyle="Currency"/>
    <tableColumn id="4" xr3:uid="{0E14F92F-C083-4DB6-9ADC-4D620C3065CF}" name="Oct" totalsRowFunction="sum" dataDxfId="369" totalsRowDxfId="97" dataCellStyle="Currency"/>
    <tableColumn id="5" xr3:uid="{C5649229-169F-4F4F-B1BA-3ACE9CBB127F}" name="Nov" totalsRowFunction="sum" dataDxfId="368" totalsRowDxfId="96" dataCellStyle="Currency"/>
    <tableColumn id="6" xr3:uid="{B5421428-9238-4012-8AA6-60554F540528}" name="Dec" totalsRowFunction="sum" dataDxfId="367" totalsRowDxfId="95" dataCellStyle="Currency"/>
    <tableColumn id="7" xr3:uid="{F2F1CA06-28DD-4FF0-953E-4CCA59FABEB9}" name="Jan" totalsRowFunction="sum" dataDxfId="366" totalsRowDxfId="94" dataCellStyle="Currency"/>
    <tableColumn id="8" xr3:uid="{0C00A474-C7CB-4C88-A3E9-21FED4CEA116}" name="Feb" totalsRowFunction="sum" dataDxfId="365" totalsRowDxfId="93" dataCellStyle="Currency"/>
    <tableColumn id="9" xr3:uid="{0F4E5530-91BA-4B41-AE91-50085F14FBD8}" name="Mar" totalsRowFunction="sum" dataDxfId="364" totalsRowDxfId="92" dataCellStyle="Currency"/>
    <tableColumn id="10" xr3:uid="{73DDC6F6-7EE0-4C84-B239-C23B29EF9D2B}" name="Apr" totalsRowFunction="sum" dataDxfId="363" totalsRowDxfId="91" dataCellStyle="Currency"/>
    <tableColumn id="11" xr3:uid="{40211729-549F-4145-86FA-B1EBBF54E469}" name="May" totalsRowFunction="sum" dataDxfId="362" totalsRowDxfId="90" dataCellStyle="Currency"/>
    <tableColumn id="12" xr3:uid="{27222732-1511-473C-B214-59B194BD030B}" name="June" totalsRowFunction="sum" dataDxfId="361" totalsRowDxfId="89" dataCellStyle="Currency"/>
    <tableColumn id="1" xr3:uid="{22745DFB-5107-6145-8BFD-C3E3FA354E64}" name="July" totalsRowFunction="sum" dataDxfId="360" totalsRowDxfId="88" dataCellStyle="Currency"/>
    <tableColumn id="15" xr3:uid="{E0C808BA-450A-3C45-A6F6-6A482158E2F3}" name="August" totalsRowFunction="sum" dataDxfId="359" totalsRowDxfId="87" dataCellStyle="Currency"/>
  </tableColumns>
  <tableStyleInfo name="Table Style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08C0125-695E-4DD2-A3CA-91C31E31DB96}" name="Costs" displayName="Costs" ref="L23:N29" totalsRowShown="0" headerRowDxfId="358" headerRowBorderDxfId="357" tableBorderDxfId="356">
  <autoFilter ref="L23:N29" xr:uid="{908C0125-695E-4DD2-A3CA-91C31E31DB96}"/>
  <tableColumns count="3">
    <tableColumn id="2" xr3:uid="{53C0B845-57E1-4A12-9159-23023E31D6F0}" name="Detail" dataDxfId="355"/>
    <tableColumn id="4" xr3:uid="{AD34976B-9197-4A3F-8248-3159CABF86DA}" name="Code" dataDxfId="354"/>
    <tableColumn id="3" xr3:uid="{A23C70D2-200D-4940-B60F-6426B6E5DA79}" name="Cost" dataDxfId="353" dataCellStyle="Currency"/>
  </tableColumns>
  <tableStyleInfo name="TableStyleMedium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8284F9C-E512-4904-968D-704669629872}" name="Invoices" displayName="Invoices" ref="L6:N19" totalsRowShown="0" headerRowDxfId="352" headerRowBorderDxfId="351" tableBorderDxfId="350">
  <autoFilter ref="L6:N19" xr:uid="{98284F9C-E512-4904-968D-704669629872}"/>
  <tableColumns count="3">
    <tableColumn id="1" xr3:uid="{4A9ECE1A-AD6A-4616-B970-B80034B50F78}" name="Month" dataDxfId="349"/>
    <tableColumn id="2" xr3:uid="{10F3700C-F1B2-4599-9F45-5175A156F8E9}" name="Amount" dataDxfId="348" dataCellStyle="Currency"/>
    <tableColumn id="3" xr3:uid="{DD0B33DC-ABFD-4257-94D5-3E9A20DF33BE}" name="Status" dataDxfId="347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411D40-C658-7048-B8D7-B6B569BF73EE}" name="Player_Costs" displayName="Player_Costs" ref="A1:F28" totalsRowCount="1" headerRowDxfId="346" dataDxfId="345" totalsRowDxfId="343" tableBorderDxfId="344" headerRowCellStyle="Currency">
  <autoFilter ref="A1:F27" xr:uid="{6D411D40-C658-7048-B8D7-B6B569BF73E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sortState xmlns:xlrd2="http://schemas.microsoft.com/office/spreadsheetml/2017/richdata2" ref="A2:F22">
    <sortCondition ref="A1:A22"/>
  </sortState>
  <tableColumns count="6">
    <tableColumn id="1" xr3:uid="{BCD46389-81C5-A24C-8B23-37A387419A26}" name="Player" totalsRowFunction="count" dataDxfId="79" totalsRowDxfId="86" dataCellStyle="Currency"/>
    <tableColumn id="3" xr3:uid="{1EE5E9C6-EDB3-8943-896B-09332551CDC5}" name="Registration" totalsRowFunction="sum" dataDxfId="80" totalsRowDxfId="85" dataCellStyle="Currency">
      <calculatedColumnFormula>$J$14</calculatedColumnFormula>
    </tableColumn>
    <tableColumn id="2" xr3:uid="{81FDC428-C7FC-0744-8B0E-D635BA471CD3}" name="Home Kit" totalsRowFunction="sum" dataDxfId="342" totalsRowDxfId="84" dataCellStyle="Currency">
      <calculatedColumnFormula>$J$15</calculatedColumnFormula>
    </tableColumn>
    <tableColumn id="5" xr3:uid="{69D7E5AE-D1F2-DD42-9A9F-D94198A90F6C}" name="Away Kit" totalsRowFunction="sum" dataDxfId="341" totalsRowDxfId="83" dataCellStyle="Currency">
      <calculatedColumnFormula>$J$16</calculatedColumnFormula>
    </tableColumn>
    <tableColumn id="4" xr3:uid="{2C90CA9B-164F-0948-B67C-C86C7D7F5AEE}" name="Training Kit" totalsRowFunction="sum" dataDxfId="78" totalsRowDxfId="82" dataCellStyle="Currency">
      <calculatedColumnFormula>$J$16</calculatedColumnFormula>
    </tableColumn>
    <tableColumn id="7" xr3:uid="{8AF3D4E4-B172-EA47-BCF5-5CFA4AEC9AD3}" name="Training / Month" totalsRowFunction="sum" dataDxfId="340" totalsRowDxfId="81" dataCellStyle="Currency">
      <calculatedColumnFormula>J$18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7FEABBBA-96F9-4926-836A-A9DD3795B051}" name="Costs_x" displayName="Costs_x" ref="I2:K8" totalsRowShown="0" headerRowDxfId="339" dataDxfId="337" headerRowBorderDxfId="338" tableBorderDxfId="336">
  <autoFilter ref="I2:K8" xr:uid="{7FEABBBA-96F9-4926-836A-A9DD3795B051}">
    <filterColumn colId="0" hiddenButton="1"/>
    <filterColumn colId="1" hiddenButton="1"/>
    <filterColumn colId="2" hiddenButton="1"/>
  </autoFilter>
  <tableColumns count="3">
    <tableColumn id="2" xr3:uid="{2FE49DF5-537D-48DE-A68C-21F90C8EF82C}" name="Detail" dataDxfId="335"/>
    <tableColumn id="4" xr3:uid="{A526F0BA-2056-4265-8364-9B93A145FA63}" name="Code" dataDxfId="334"/>
    <tableColumn id="3" xr3:uid="{4F3BF802-2124-4309-81A0-2BC8C402159E}" name="Cost" dataDxfId="333" dataCellStyle="Currency">
      <calculatedColumnFormula>Ledger!N26</calculatedColumnFormula>
    </tableColumn>
  </tableColumns>
  <tableStyleInfo name="TableStyleMedium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E6E8D51-A006-4A49-BF73-A671E30F2B93}" name="Attendance" displayName="Attendance" ref="A1:D300" totalsRowShown="0">
  <autoFilter ref="A1:D300" xr:uid="{2E6E8D51-A006-4A49-BF73-A671E30F2B93}"/>
  <tableColumns count="4">
    <tableColumn id="1" xr3:uid="{7408F05B-8E46-4F16-9A72-990B9E68FB99}" name="Id"/>
    <tableColumn id="2" xr3:uid="{3F630A0A-0433-4A81-AF7A-F2743D973D7A}" name="Start time">
      <calculatedColumnFormula>IFERROR([1]!OfficeForms.Table[[#This Row],[Start time]],"")</calculatedColumnFormula>
    </tableColumn>
    <tableColumn id="3" xr3:uid="{74EE7E94-C8E1-40BB-8933-C006D9397B7B}" name="Session Type">
      <calculatedColumnFormula>IFERROR([1]!OfficeForms.Table[[#This Row],[Session]],"")</calculatedColumnFormula>
    </tableColumn>
    <tableColumn id="4" xr3:uid="{1B26E4E2-A8F6-4665-9C22-3AB8C212014A}" name="Attendees">
      <calculatedColumnFormula>IFERROR([1]!OfficeForms.Table[[#This Row],[Players]],"")</calculatedColumnFormula>
    </tableColumn>
  </tableColumns>
  <tableStyleInfo name="TableStyleLight1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7CAEBF-DBF9-40EB-9FB0-799C0727D480}" name="Squad" displayName="Squad" ref="A1:H28" totalsRowCount="1" headerRowDxfId="308" totalsRowDxfId="307" totalsRowBorderDxfId="306">
  <autoFilter ref="A1:H27" xr:uid="{CE7CAEBF-DBF9-40EB-9FB0-799C0727D480}"/>
  <sortState xmlns:xlrd2="http://schemas.microsoft.com/office/spreadsheetml/2017/richdata2" ref="A2:H27">
    <sortCondition ref="B1:B27"/>
  </sortState>
  <tableColumns count="8">
    <tableColumn id="2" xr3:uid="{029C57BB-1A0C-41C8-A779-FAF35C50E2DB}" name="Name" totalsRowFunction="count" dataDxfId="305" totalsRowDxfId="77"/>
    <tableColumn id="1" xr3:uid="{12FBE21E-17D7-4F43-A65E-D4A8D4EA3779}" name="First Name" dataDxfId="304" totalsRowDxfId="76"/>
    <tableColumn id="7" xr3:uid="{7643E2F3-4A3B-314F-9195-97F991582E61}" name="Numebr" dataDxfId="303" totalsRowDxfId="75"/>
    <tableColumn id="8" xr3:uid="{D29831AD-6563-4D45-848F-D0AC77F39F42}" name="Email" dataDxfId="302" totalsRowDxfId="74"/>
    <tableColumn id="3" xr3:uid="{34C7B7D2-060A-4FBF-9D66-8409731C6BC3}" name="Position" dataDxfId="301" totalsRowDxfId="73"/>
    <tableColumn id="4" xr3:uid="{D7804D9E-9ABA-4754-9326-CA40AF29DD97}" name="Kit Size" dataDxfId="300" totalsRowDxfId="72"/>
    <tableColumn id="5" xr3:uid="{DE6D2F27-60F5-47ED-B008-475C46E58C0F}" name="Shirt number" dataDxfId="299" totalsRowDxfId="71"/>
    <tableColumn id="6" xr3:uid="{5D45611A-AFE0-C743-A2E3-E6F658C34D34}" name="Likely" totalsRowFunction="count" dataDxfId="298" totalsRowDxfId="7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fulltime.thefa.com/table.html?divisionseason=890410319" TargetMode="External"/><Relationship Id="rId1" Type="http://schemas.openxmlformats.org/officeDocument/2006/relationships/hyperlink" Target="https://fulltime.thefa.com/index.html?league=311727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hyperlink" Target="mailto:davies.ronnie1@icloud.com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fulltime.thefa.com/index.html;jsessionid=C6EE3D8A34BFB8C0415D6040D02619EB?selectedSeason=721199989&amp;selectedFixtureGroupAgeGroup=0&amp;selectedDivision=895449857&amp;selectedCompetition=0" TargetMode="External"/><Relationship Id="rId1" Type="http://schemas.openxmlformats.org/officeDocument/2006/relationships/hyperlink" Target="https://dansmith75.github.io/Welling-Utd-Red-OBDSF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7EE56-EC5F-4D7B-96F1-6268A0BF93A1}">
  <sheetPr>
    <tabColor theme="5"/>
  </sheetPr>
  <dimension ref="A1:O53"/>
  <sheetViews>
    <sheetView zoomScaleNormal="100" workbookViewId="0">
      <pane ySplit="1" topLeftCell="A2" activePane="bottomLeft" state="frozen"/>
      <selection pane="bottomLeft" activeCell="J45" sqref="J45"/>
    </sheetView>
  </sheetViews>
  <sheetFormatPr defaultColWidth="8.90625" defaultRowHeight="15.5" x14ac:dyDescent="0.35"/>
  <cols>
    <col min="1" max="2" width="11.36328125" style="219" customWidth="1"/>
    <col min="3" max="3" width="48.7265625" style="124" customWidth="1"/>
    <col min="4" max="6" width="13.81640625" style="93" customWidth="1"/>
    <col min="7" max="7" width="13.81640625" style="126" customWidth="1"/>
    <col min="8" max="9" width="13.81640625" style="93" customWidth="1"/>
    <col min="10" max="16384" width="8.90625" style="93"/>
  </cols>
  <sheetData>
    <row r="1" spans="1:15" s="252" customFormat="1" ht="35" customHeight="1" thickBot="1" x14ac:dyDescent="0.4">
      <c r="A1" s="250" t="s">
        <v>11</v>
      </c>
      <c r="B1" s="250" t="s">
        <v>144</v>
      </c>
      <c r="C1" s="251" t="s">
        <v>16</v>
      </c>
      <c r="D1" s="248" t="s">
        <v>148</v>
      </c>
      <c r="E1" s="248" t="s">
        <v>147</v>
      </c>
      <c r="F1" s="248" t="s">
        <v>157</v>
      </c>
      <c r="G1" s="249" t="s">
        <v>17</v>
      </c>
      <c r="H1" s="249" t="s">
        <v>18</v>
      </c>
      <c r="I1" s="248" t="s">
        <v>154</v>
      </c>
    </row>
    <row r="2" spans="1:15" x14ac:dyDescent="0.35">
      <c r="A2" s="219">
        <v>46271</v>
      </c>
      <c r="B2" s="220">
        <f>Fixtures[[#This Row],[Date]]</f>
        <v>46271</v>
      </c>
      <c r="C2" s="124" t="s">
        <v>164</v>
      </c>
      <c r="D2" s="124"/>
      <c r="E2" s="124"/>
      <c r="F2" s="125" t="b">
        <v>0</v>
      </c>
      <c r="H2" s="126"/>
      <c r="I2" s="124" t="str" cm="1">
        <f t="array" ref="I2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  <c r="N2" s="127" t="s">
        <v>55</v>
      </c>
      <c r="O2" s="128" t="s">
        <v>33</v>
      </c>
    </row>
    <row r="3" spans="1:15" ht="16" thickBot="1" x14ac:dyDescent="0.4">
      <c r="A3" s="219">
        <v>46278</v>
      </c>
      <c r="B3" s="220">
        <f>Fixtures[[#This Row],[Date]]</f>
        <v>46278</v>
      </c>
      <c r="D3" s="124"/>
      <c r="E3" s="124"/>
      <c r="F3" s="125" t="b">
        <v>0</v>
      </c>
      <c r="H3" s="126"/>
      <c r="I3" s="124" t="str" cm="1">
        <f t="array" ref="I3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  <c r="N3" s="131" t="s">
        <v>56</v>
      </c>
      <c r="O3" s="132" t="s">
        <v>27</v>
      </c>
    </row>
    <row r="4" spans="1:15" x14ac:dyDescent="0.35">
      <c r="A4" s="219">
        <v>46285</v>
      </c>
      <c r="B4" s="220">
        <f>Fixtures[[#This Row],[Date]]</f>
        <v>46285</v>
      </c>
      <c r="D4" s="124"/>
      <c r="E4" s="124"/>
      <c r="F4" s="125" t="b">
        <v>0</v>
      </c>
      <c r="H4" s="126"/>
      <c r="I4" s="124" t="str" cm="1">
        <f t="array" ref="I4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  <c r="N4" s="127" t="s">
        <v>28</v>
      </c>
      <c r="O4" s="128" t="s">
        <v>57</v>
      </c>
    </row>
    <row r="5" spans="1:15" x14ac:dyDescent="0.35">
      <c r="A5" s="219">
        <v>46292</v>
      </c>
      <c r="B5" s="220">
        <f>Fixtures[[#This Row],[Date]]</f>
        <v>46292</v>
      </c>
      <c r="D5" s="124"/>
      <c r="E5" s="124"/>
      <c r="F5" s="125" t="b">
        <v>0</v>
      </c>
      <c r="H5" s="126"/>
      <c r="I5" s="124" t="str" cm="1">
        <f t="array" ref="I5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  <c r="N5" s="129" t="s">
        <v>34</v>
      </c>
      <c r="O5" s="130" t="s">
        <v>58</v>
      </c>
    </row>
    <row r="6" spans="1:15" x14ac:dyDescent="0.35">
      <c r="A6" s="219">
        <v>46299</v>
      </c>
      <c r="B6" s="220">
        <f>Fixtures[[#This Row],[Date]]</f>
        <v>46299</v>
      </c>
      <c r="D6" s="124"/>
      <c r="E6" s="124"/>
      <c r="F6" s="125" t="b">
        <v>0</v>
      </c>
      <c r="H6" s="126"/>
      <c r="I6" s="124" t="str" cm="1">
        <f t="array" ref="I6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  <c r="N6" s="129" t="s">
        <v>45</v>
      </c>
      <c r="O6" s="130" t="s">
        <v>59</v>
      </c>
    </row>
    <row r="7" spans="1:15" ht="16" thickBot="1" x14ac:dyDescent="0.4">
      <c r="A7" s="219">
        <v>46306</v>
      </c>
      <c r="B7" s="220">
        <f>Fixtures[[#This Row],[Date]]</f>
        <v>46306</v>
      </c>
      <c r="D7" s="124"/>
      <c r="E7" s="124"/>
      <c r="F7" s="125" t="b">
        <v>0</v>
      </c>
      <c r="H7" s="126"/>
      <c r="I7" s="124" t="str" cm="1">
        <f t="array" ref="I7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  <c r="N7" s="131" t="s">
        <v>102</v>
      </c>
      <c r="O7" s="132" t="s">
        <v>122</v>
      </c>
    </row>
    <row r="8" spans="1:15" x14ac:dyDescent="0.35">
      <c r="A8" s="219">
        <v>46313</v>
      </c>
      <c r="B8" s="220">
        <f>Fixtures[[#This Row],[Date]]</f>
        <v>46313</v>
      </c>
      <c r="D8" s="124"/>
      <c r="E8" s="124"/>
      <c r="F8" s="125" t="b">
        <v>0</v>
      </c>
      <c r="H8" s="126"/>
      <c r="I8" s="124" t="str" cm="1">
        <f t="array" ref="I8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9" spans="1:15" x14ac:dyDescent="0.35">
      <c r="A9" s="219">
        <v>46320</v>
      </c>
      <c r="B9" s="220">
        <f>Fixtures[[#This Row],[Date]]</f>
        <v>46320</v>
      </c>
      <c r="D9" s="124"/>
      <c r="E9" s="124"/>
      <c r="F9" s="125" t="b">
        <v>0</v>
      </c>
      <c r="H9" s="126"/>
      <c r="I9" s="124" t="str" cm="1">
        <f t="array" ref="I9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10" spans="1:15" ht="16" x14ac:dyDescent="0.4">
      <c r="A10" s="219">
        <v>46327</v>
      </c>
      <c r="B10" s="220">
        <f>Fixtures[[#This Row],[Date]]</f>
        <v>46327</v>
      </c>
      <c r="D10" s="124"/>
      <c r="E10" s="124"/>
      <c r="F10" s="125" t="b">
        <v>0</v>
      </c>
      <c r="H10" s="126"/>
      <c r="I10" s="124" t="str" cm="1">
        <f t="array" ref="I10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  <c r="N10" s="177" t="s">
        <v>165</v>
      </c>
    </row>
    <row r="11" spans="1:15" x14ac:dyDescent="0.35">
      <c r="A11" s="219">
        <v>46334</v>
      </c>
      <c r="B11" s="220">
        <f>Fixtures[[#This Row],[Date]]</f>
        <v>46334</v>
      </c>
      <c r="D11" s="124"/>
      <c r="E11" s="124"/>
      <c r="F11" s="125" t="b">
        <v>0</v>
      </c>
      <c r="H11" s="126"/>
      <c r="I11" s="124" t="str" cm="1">
        <f t="array" ref="I11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12" spans="1:15" x14ac:dyDescent="0.35">
      <c r="A12" s="219">
        <v>46341</v>
      </c>
      <c r="B12" s="220">
        <f>Fixtures[[#This Row],[Date]]</f>
        <v>46341</v>
      </c>
      <c r="D12" s="124"/>
      <c r="E12" s="124"/>
      <c r="F12" s="125" t="b">
        <v>0</v>
      </c>
      <c r="H12" s="126"/>
      <c r="I12" s="124" t="str" cm="1">
        <f t="array" ref="I12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  <c r="N12" s="176" t="s">
        <v>166</v>
      </c>
    </row>
    <row r="13" spans="1:15" x14ac:dyDescent="0.35">
      <c r="A13" s="219">
        <v>46348</v>
      </c>
      <c r="B13" s="220">
        <f>Fixtures[[#This Row],[Date]]</f>
        <v>46348</v>
      </c>
      <c r="D13" s="124"/>
      <c r="E13" s="124"/>
      <c r="F13" s="125" t="b">
        <v>0</v>
      </c>
      <c r="H13" s="126"/>
      <c r="I13" s="124" t="str" cm="1">
        <f t="array" ref="I13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14" spans="1:15" x14ac:dyDescent="0.35">
      <c r="A14" s="219">
        <v>46355</v>
      </c>
      <c r="B14" s="220">
        <f>Fixtures[[#This Row],[Date]]</f>
        <v>46355</v>
      </c>
      <c r="D14" s="124"/>
      <c r="E14" s="124"/>
      <c r="F14" s="125" t="b">
        <v>0</v>
      </c>
      <c r="H14" s="126"/>
      <c r="I14" s="124" t="str" cm="1">
        <f t="array" ref="I14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15" spans="1:15" x14ac:dyDescent="0.35">
      <c r="A15" s="219">
        <v>46362</v>
      </c>
      <c r="B15" s="220">
        <f>Fixtures[[#This Row],[Date]]</f>
        <v>46362</v>
      </c>
      <c r="D15" s="124"/>
      <c r="E15" s="124"/>
      <c r="F15" s="125" t="b">
        <v>0</v>
      </c>
      <c r="H15" s="126"/>
      <c r="I15" s="124" t="str" cm="1">
        <f t="array" ref="I15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16" spans="1:15" x14ac:dyDescent="0.35">
      <c r="A16" s="219">
        <v>46369</v>
      </c>
      <c r="B16" s="220">
        <f>Fixtures[[#This Row],[Date]]</f>
        <v>46369</v>
      </c>
      <c r="D16" s="124"/>
      <c r="E16" s="124"/>
      <c r="F16" s="125" t="b">
        <v>0</v>
      </c>
      <c r="H16" s="126"/>
      <c r="I16" s="124" t="str" cm="1">
        <f t="array" ref="I16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17" spans="1:9" x14ac:dyDescent="0.35">
      <c r="A17" s="219">
        <v>46376</v>
      </c>
      <c r="B17" s="220">
        <f>Fixtures[[#This Row],[Date]]</f>
        <v>46376</v>
      </c>
      <c r="D17" s="124"/>
      <c r="E17" s="124"/>
      <c r="F17" s="125" t="b">
        <v>0</v>
      </c>
      <c r="H17" s="126"/>
      <c r="I17" s="124" t="str" cm="1">
        <f t="array" ref="I17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18" spans="1:9" x14ac:dyDescent="0.35">
      <c r="A18" s="219">
        <v>46383</v>
      </c>
      <c r="B18" s="220">
        <f>Fixtures[[#This Row],[Date]]</f>
        <v>46383</v>
      </c>
      <c r="D18" s="124"/>
      <c r="E18" s="124"/>
      <c r="F18" s="125" t="b">
        <v>0</v>
      </c>
      <c r="H18" s="126"/>
      <c r="I18" s="124" t="str" cm="1">
        <f t="array" ref="I18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19" spans="1:9" x14ac:dyDescent="0.35">
      <c r="A19" s="219">
        <v>46390</v>
      </c>
      <c r="B19" s="220">
        <f>Fixtures[[#This Row],[Date]]</f>
        <v>46390</v>
      </c>
      <c r="D19" s="124"/>
      <c r="E19" s="124"/>
      <c r="F19" s="125" t="b">
        <v>0</v>
      </c>
      <c r="H19" s="126"/>
      <c r="I19" s="124" t="str" cm="1">
        <f t="array" ref="I19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20" spans="1:9" x14ac:dyDescent="0.35">
      <c r="A20" s="219">
        <v>46397</v>
      </c>
      <c r="B20" s="220">
        <f>Fixtures[[#This Row],[Date]]</f>
        <v>46397</v>
      </c>
      <c r="D20" s="124"/>
      <c r="E20" s="124"/>
      <c r="F20" s="125" t="b">
        <v>0</v>
      </c>
      <c r="H20" s="126"/>
      <c r="I20" s="124" t="str" cm="1">
        <f t="array" ref="I20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21" spans="1:9" x14ac:dyDescent="0.35">
      <c r="A21" s="219">
        <v>46404</v>
      </c>
      <c r="B21" s="220">
        <f>Fixtures[[#This Row],[Date]]</f>
        <v>46404</v>
      </c>
      <c r="D21" s="124"/>
      <c r="E21" s="124"/>
      <c r="F21" s="125" t="b">
        <v>0</v>
      </c>
      <c r="H21" s="126"/>
      <c r="I21" s="124" t="str" cm="1">
        <f t="array" ref="I21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22" spans="1:9" x14ac:dyDescent="0.35">
      <c r="A22" s="219">
        <v>46411</v>
      </c>
      <c r="B22" s="220">
        <f>Fixtures[[#This Row],[Date]]</f>
        <v>46411</v>
      </c>
      <c r="D22" s="124"/>
      <c r="E22" s="124"/>
      <c r="F22" s="125" t="b">
        <v>0</v>
      </c>
      <c r="H22" s="126"/>
      <c r="I22" s="124" t="str" cm="1">
        <f t="array" ref="I22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23" spans="1:9" x14ac:dyDescent="0.35">
      <c r="A23" s="219">
        <v>46418</v>
      </c>
      <c r="B23" s="220">
        <f>Fixtures[[#This Row],[Date]]</f>
        <v>46418</v>
      </c>
      <c r="D23" s="124"/>
      <c r="E23" s="124"/>
      <c r="F23" s="125" t="b">
        <v>0</v>
      </c>
      <c r="H23" s="126"/>
      <c r="I23" s="124" t="str" cm="1">
        <f t="array" ref="I23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24" spans="1:9" x14ac:dyDescent="0.35">
      <c r="A24" s="219">
        <v>46425</v>
      </c>
      <c r="B24" s="220">
        <f>Fixtures[[#This Row],[Date]]</f>
        <v>46425</v>
      </c>
      <c r="D24" s="124"/>
      <c r="E24" s="124"/>
      <c r="F24" s="125" t="b">
        <v>0</v>
      </c>
      <c r="H24" s="126"/>
      <c r="I24" s="124" t="str" cm="1">
        <f t="array" ref="I24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25" spans="1:9" x14ac:dyDescent="0.35">
      <c r="A25" s="219">
        <v>46432</v>
      </c>
      <c r="B25" s="220">
        <f>Fixtures[[#This Row],[Date]]</f>
        <v>46432</v>
      </c>
      <c r="D25" s="124"/>
      <c r="E25" s="124"/>
      <c r="F25" s="125" t="b">
        <v>0</v>
      </c>
      <c r="H25" s="126"/>
      <c r="I25" s="124" t="str" cm="1">
        <f t="array" ref="I25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26" spans="1:9" x14ac:dyDescent="0.35">
      <c r="A26" s="219">
        <v>46439</v>
      </c>
      <c r="B26" s="220">
        <f>Fixtures[[#This Row],[Date]]</f>
        <v>46439</v>
      </c>
      <c r="D26" s="124"/>
      <c r="E26" s="124"/>
      <c r="F26" s="125" t="b">
        <v>0</v>
      </c>
      <c r="H26" s="126"/>
      <c r="I26" s="124" t="str" cm="1">
        <f t="array" ref="I26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27" spans="1:9" x14ac:dyDescent="0.35">
      <c r="A27" s="219">
        <v>46446</v>
      </c>
      <c r="B27" s="220">
        <f>Fixtures[[#This Row],[Date]]</f>
        <v>46446</v>
      </c>
      <c r="D27" s="124"/>
      <c r="E27" s="124"/>
      <c r="F27" s="125" t="b">
        <v>0</v>
      </c>
      <c r="H27" s="126"/>
      <c r="I27" s="124" t="str" cm="1">
        <f t="array" ref="I27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28" spans="1:9" x14ac:dyDescent="0.35">
      <c r="A28" s="219">
        <v>46453</v>
      </c>
      <c r="B28" s="220">
        <f>Fixtures[[#This Row],[Date]]</f>
        <v>46453</v>
      </c>
      <c r="D28" s="124"/>
      <c r="E28" s="124"/>
      <c r="F28" s="125" t="b">
        <v>0</v>
      </c>
      <c r="H28" s="126"/>
      <c r="I28" s="124" t="str" cm="1">
        <f t="array" ref="I28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29" spans="1:9" x14ac:dyDescent="0.35">
      <c r="A29" s="219">
        <v>46460</v>
      </c>
      <c r="B29" s="220">
        <f>Fixtures[[#This Row],[Date]]</f>
        <v>46460</v>
      </c>
      <c r="D29" s="124"/>
      <c r="E29" s="124"/>
      <c r="F29" s="125" t="b">
        <v>0</v>
      </c>
      <c r="H29" s="126"/>
      <c r="I29" s="124" t="str" cm="1">
        <f t="array" ref="I29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30" spans="1:9" x14ac:dyDescent="0.35">
      <c r="A30" s="219">
        <v>46467</v>
      </c>
      <c r="B30" s="220">
        <f>Fixtures[[#This Row],[Date]]</f>
        <v>46467</v>
      </c>
      <c r="D30" s="124"/>
      <c r="E30" s="124"/>
      <c r="F30" s="125" t="b">
        <v>0</v>
      </c>
      <c r="H30" s="126"/>
      <c r="I30" s="124" t="str" cm="1">
        <f t="array" ref="I30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31" spans="1:9" x14ac:dyDescent="0.35">
      <c r="A31" s="219">
        <v>46474</v>
      </c>
      <c r="B31" s="220">
        <f>Fixtures[[#This Row],[Date]]</f>
        <v>46474</v>
      </c>
      <c r="D31" s="124"/>
      <c r="E31" s="124"/>
      <c r="F31" s="125" t="b">
        <v>0</v>
      </c>
      <c r="H31" s="126"/>
      <c r="I31" s="124" t="str" cm="1">
        <f t="array" ref="I31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32" spans="1:9" x14ac:dyDescent="0.35">
      <c r="A32" s="219">
        <v>46481</v>
      </c>
      <c r="B32" s="220">
        <f>Fixtures[[#This Row],[Date]]</f>
        <v>46481</v>
      </c>
      <c r="D32" s="124"/>
      <c r="E32" s="124"/>
      <c r="F32" s="125" t="b">
        <v>0</v>
      </c>
      <c r="H32" s="126"/>
      <c r="I32" s="124" t="str" cm="1">
        <f t="array" ref="I32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33" spans="1:9" x14ac:dyDescent="0.35">
      <c r="A33" s="219">
        <v>46488</v>
      </c>
      <c r="B33" s="220">
        <f>Fixtures[[#This Row],[Date]]</f>
        <v>46488</v>
      </c>
      <c r="D33" s="124"/>
      <c r="E33" s="124"/>
      <c r="F33" s="125" t="b">
        <v>0</v>
      </c>
      <c r="H33" s="126"/>
      <c r="I33" s="124" t="str" cm="1">
        <f t="array" ref="I33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34" spans="1:9" x14ac:dyDescent="0.35">
      <c r="A34" s="219">
        <v>46495</v>
      </c>
      <c r="B34" s="220">
        <f>Fixtures[[#This Row],[Date]]</f>
        <v>46495</v>
      </c>
      <c r="D34" s="124"/>
      <c r="E34" s="124"/>
      <c r="F34" s="125" t="b">
        <v>0</v>
      </c>
      <c r="H34" s="126"/>
      <c r="I34" s="124" t="str" cm="1">
        <f t="array" ref="I34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35" spans="1:9" x14ac:dyDescent="0.35">
      <c r="A35" s="219">
        <v>46502</v>
      </c>
      <c r="B35" s="220">
        <f>Fixtures[[#This Row],[Date]]</f>
        <v>46502</v>
      </c>
      <c r="D35" s="124"/>
      <c r="E35" s="124"/>
      <c r="F35" s="125" t="b">
        <v>0</v>
      </c>
      <c r="H35" s="126"/>
      <c r="I35" s="124" t="str" cm="1">
        <f t="array" ref="I35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36" spans="1:9" x14ac:dyDescent="0.35">
      <c r="A36" s="219">
        <v>46509</v>
      </c>
      <c r="B36" s="220">
        <f>Fixtures[[#This Row],[Date]]</f>
        <v>46509</v>
      </c>
      <c r="D36" s="124"/>
      <c r="E36" s="124"/>
      <c r="F36" s="125" t="b">
        <v>0</v>
      </c>
      <c r="H36" s="126"/>
      <c r="I36" s="124" t="str" cm="1">
        <f t="array" ref="I36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37" spans="1:9" x14ac:dyDescent="0.35">
      <c r="A37" s="219">
        <v>46516</v>
      </c>
      <c r="B37" s="220">
        <f>Fixtures[[#This Row],[Date]]</f>
        <v>46516</v>
      </c>
      <c r="D37" s="124"/>
      <c r="E37" s="124"/>
      <c r="F37" s="125" t="b">
        <v>0</v>
      </c>
      <c r="H37" s="126"/>
      <c r="I37" s="124" t="str" cm="1">
        <f t="array" ref="I37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38" spans="1:9" x14ac:dyDescent="0.35">
      <c r="A38" s="219">
        <v>46523</v>
      </c>
      <c r="B38" s="220">
        <f>Fixtures[[#This Row],[Date]]</f>
        <v>46523</v>
      </c>
      <c r="D38" s="124"/>
      <c r="E38" s="124"/>
      <c r="F38" s="125" t="b">
        <v>0</v>
      </c>
      <c r="H38" s="126"/>
      <c r="I38" s="124" t="str" cm="1">
        <f t="array" ref="I38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39" spans="1:9" x14ac:dyDescent="0.35">
      <c r="A39" s="219">
        <v>46530</v>
      </c>
      <c r="B39" s="220">
        <f>Fixtures[[#This Row],[Date]]</f>
        <v>46530</v>
      </c>
      <c r="D39" s="124"/>
      <c r="E39" s="124"/>
      <c r="F39" s="125" t="b">
        <v>0</v>
      </c>
      <c r="H39" s="126"/>
      <c r="I39" s="124" t="str" cm="1">
        <f t="array" ref="I39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40" spans="1:9" x14ac:dyDescent="0.35">
      <c r="A40" s="219">
        <v>46537</v>
      </c>
      <c r="B40" s="220">
        <f>Fixtures[[#This Row],[Date]]</f>
        <v>46537</v>
      </c>
      <c r="D40" s="124"/>
      <c r="E40" s="124"/>
      <c r="F40" s="125" t="b">
        <v>0</v>
      </c>
      <c r="H40" s="126"/>
      <c r="I40" s="124" t="str" cm="1">
        <f t="array" ref="I40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41" spans="1:9" x14ac:dyDescent="0.35">
      <c r="A41" s="219">
        <v>46544</v>
      </c>
      <c r="B41" s="220">
        <f>Fixtures[[#This Row],[Date]]</f>
        <v>46544</v>
      </c>
      <c r="D41" s="124"/>
      <c r="E41" s="124"/>
      <c r="F41" s="125" t="b">
        <v>0</v>
      </c>
      <c r="H41" s="126"/>
      <c r="I41" s="124" t="str" cm="1">
        <f t="array" ref="I41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42" spans="1:9" x14ac:dyDescent="0.35">
      <c r="A42" s="219">
        <v>46551</v>
      </c>
      <c r="B42" s="220">
        <f>Fixtures[[#This Row],[Date]]</f>
        <v>46551</v>
      </c>
      <c r="D42" s="124"/>
      <c r="E42" s="124"/>
      <c r="F42" s="125" t="b">
        <v>0</v>
      </c>
      <c r="H42" s="126"/>
      <c r="I42" s="124" t="str" cm="1">
        <f t="array" ref="I42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43" spans="1:9" x14ac:dyDescent="0.35">
      <c r="A43" s="219">
        <v>46558</v>
      </c>
      <c r="B43" s="220">
        <f>Fixtures[[#This Row],[Date]]</f>
        <v>46558</v>
      </c>
      <c r="D43" s="124"/>
      <c r="E43" s="124"/>
      <c r="F43" s="125" t="b">
        <v>0</v>
      </c>
      <c r="H43" s="126"/>
      <c r="I43" s="124" t="str" cm="1">
        <f t="array" ref="I43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44" spans="1:9" x14ac:dyDescent="0.35">
      <c r="A44" s="219">
        <v>46565</v>
      </c>
      <c r="B44" s="220">
        <f>Fixtures[[#This Row],[Date]]</f>
        <v>46565</v>
      </c>
      <c r="D44" s="124"/>
      <c r="E44" s="124"/>
      <c r="F44" s="125" t="b">
        <v>0</v>
      </c>
      <c r="H44" s="126"/>
      <c r="I44" s="124" t="str" cm="1">
        <f t="array" ref="I44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45" spans="1:9" x14ac:dyDescent="0.35">
      <c r="A45" s="219">
        <v>46572</v>
      </c>
      <c r="B45" s="220">
        <f>Fixtures[[#This Row],[Date]]</f>
        <v>46572</v>
      </c>
      <c r="D45" s="124"/>
      <c r="E45" s="124"/>
      <c r="F45" s="125" t="b">
        <v>0</v>
      </c>
      <c r="H45" s="126"/>
      <c r="I45" s="124" t="str" cm="1">
        <f t="array" ref="I45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46" spans="1:9" x14ac:dyDescent="0.35">
      <c r="A46" s="219">
        <v>46579</v>
      </c>
      <c r="B46" s="220">
        <f>Fixtures[[#This Row],[Date]]</f>
        <v>46579</v>
      </c>
      <c r="D46" s="124"/>
      <c r="E46" s="124"/>
      <c r="F46" s="125" t="b">
        <v>0</v>
      </c>
      <c r="H46" s="126"/>
      <c r="I46" s="124" t="str" cm="1">
        <f t="array" ref="I46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47" spans="1:9" x14ac:dyDescent="0.35">
      <c r="A47" s="219">
        <v>46586</v>
      </c>
      <c r="B47" s="220">
        <f>Fixtures[[#This Row],[Date]]</f>
        <v>46586</v>
      </c>
      <c r="D47" s="124"/>
      <c r="E47" s="124"/>
      <c r="F47" s="125" t="b">
        <v>0</v>
      </c>
      <c r="H47" s="126"/>
      <c r="I47" s="124" t="str" cm="1">
        <f t="array" ref="I47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48" spans="1:9" x14ac:dyDescent="0.35">
      <c r="A48" s="219">
        <v>46593</v>
      </c>
      <c r="B48" s="220">
        <f>Fixtures[[#This Row],[Date]]</f>
        <v>46593</v>
      </c>
      <c r="D48" s="124"/>
      <c r="E48" s="124"/>
      <c r="F48" s="125" t="b">
        <v>0</v>
      </c>
      <c r="H48" s="126"/>
      <c r="I48" s="124" t="str" cm="1">
        <f t="array" ref="I48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49" spans="1:9" x14ac:dyDescent="0.35">
      <c r="A49" s="219">
        <v>46600</v>
      </c>
      <c r="B49" s="220">
        <f>Fixtures[[#This Row],[Date]]</f>
        <v>46600</v>
      </c>
      <c r="D49" s="124"/>
      <c r="E49" s="124"/>
      <c r="F49" s="125" t="b">
        <v>0</v>
      </c>
      <c r="H49" s="126"/>
      <c r="I49" s="124" t="str" cm="1">
        <f t="array" ref="I49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50" spans="1:9" x14ac:dyDescent="0.35">
      <c r="A50" s="219">
        <v>46607</v>
      </c>
      <c r="B50" s="220">
        <f>Fixtures[[#This Row],[Date]]</f>
        <v>46607</v>
      </c>
      <c r="D50" s="124"/>
      <c r="E50" s="124"/>
      <c r="F50" s="125" t="b">
        <v>0</v>
      </c>
      <c r="H50" s="126"/>
      <c r="I50" s="124" t="str" cm="1">
        <f t="array" ref="I50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51" spans="1:9" x14ac:dyDescent="0.35">
      <c r="A51" s="219">
        <v>46614</v>
      </c>
      <c r="B51" s="220">
        <f>Fixtures[[#This Row],[Date]]</f>
        <v>46614</v>
      </c>
      <c r="D51" s="124"/>
      <c r="E51" s="124"/>
      <c r="F51" s="125" t="b">
        <v>0</v>
      </c>
      <c r="H51" s="126"/>
      <c r="I51" s="124" t="str" cm="1">
        <f t="array" ref="I51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52" spans="1:9" x14ac:dyDescent="0.35">
      <c r="A52" s="219">
        <v>46621</v>
      </c>
      <c r="B52" s="220">
        <f>Fixtures[[#This Row],[Date]]</f>
        <v>46621</v>
      </c>
      <c r="D52" s="124"/>
      <c r="E52" s="124"/>
      <c r="F52" s="125" t="b">
        <v>0</v>
      </c>
      <c r="H52" s="126"/>
      <c r="I52" s="124" t="str" cm="1">
        <f t="array" ref="I52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  <row r="53" spans="1:9" x14ac:dyDescent="0.35">
      <c r="A53" s="219">
        <v>46628</v>
      </c>
      <c r="B53" s="220">
        <f>Fixtures[[#This Row],[Date]]</f>
        <v>46628</v>
      </c>
      <c r="D53" s="124"/>
      <c r="E53" s="124"/>
      <c r="F53" s="125" t="b">
        <v>0</v>
      </c>
      <c r="H53" s="126"/>
      <c r="I53" s="124" t="str" cm="1">
        <f t="array" ref="I53">IF(OR(Fixtures[[#This Row],[Goals For]]="",Fixtures[[#This Row],[Goals Against]]=""), IF(Fixtures[[#This Row],[Postponed]]=TRUE,"Postponed",""), _xlfn.IFS(Fixtures[[#This Row],[Goals For]]&gt;Fixtures[[#This Row],[Goals Against]],"Win", Fixtures[[#This Row],[Goals For]]&lt;Fixtures[[#This Row],[Goals Against]],"Lose", Fixtures[[#This Row],[Goals For]]=Fixtures[[#This Row],[Goals Against]],"Draw"))</f>
        <v/>
      </c>
    </row>
  </sheetData>
  <phoneticPr fontId="16" type="noConversion"/>
  <hyperlinks>
    <hyperlink ref="N10" r:id="rId1" xr:uid="{54F357F6-55ED-CA47-9B25-A589DDADCE67}"/>
    <hyperlink ref="N12" r:id="rId2" location="tab-1" xr:uid="{FDB650D6-BABA-2845-B35B-7159CFEA41B8}"/>
  </hyperlinks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8FE9B-9C11-7440-8B38-6122F18E8630}">
  <sheetPr>
    <tabColor theme="9"/>
  </sheetPr>
  <dimension ref="A1:AC61"/>
  <sheetViews>
    <sheetView zoomScale="85" zoomScaleNormal="85" workbookViewId="0">
      <pane xSplit="2" ySplit="1" topLeftCell="C2" activePane="bottomRight" state="frozen"/>
      <selection activeCell="N25" sqref="N25"/>
      <selection pane="topRight" activeCell="N25" sqref="N25"/>
      <selection pane="bottomLeft" activeCell="N25" sqref="N25"/>
      <selection pane="bottomRight" activeCell="B1" sqref="B1"/>
    </sheetView>
  </sheetViews>
  <sheetFormatPr defaultColWidth="10.7265625" defaultRowHeight="14.5" x14ac:dyDescent="0.35"/>
  <cols>
    <col min="2" max="2" width="17.6328125" style="218" bestFit="1" customWidth="1"/>
    <col min="3" max="3" width="10.26953125" style="164" bestFit="1" customWidth="1"/>
    <col min="4" max="4" width="11.7265625" style="172" bestFit="1" customWidth="1"/>
    <col min="5" max="5" width="11.36328125" style="172" bestFit="1" customWidth="1"/>
    <col min="6" max="6" width="9.6328125" style="172" bestFit="1" customWidth="1"/>
    <col min="7" max="7" width="12.36328125" style="172" bestFit="1" customWidth="1"/>
    <col min="8" max="8" width="11.6328125" style="172" bestFit="1" customWidth="1"/>
    <col min="9" max="9" width="12.81640625" style="172" bestFit="1" customWidth="1"/>
    <col min="10" max="10" width="11" style="172" bestFit="1" customWidth="1"/>
    <col min="11" max="11" width="8" style="172" bestFit="1" customWidth="1"/>
    <col min="12" max="12" width="8.1796875" style="172" bestFit="1" customWidth="1"/>
    <col min="13" max="14" width="9.81640625" style="172" bestFit="1" customWidth="1"/>
    <col min="15" max="15" width="10.81640625" style="172" bestFit="1" customWidth="1"/>
    <col min="16" max="17" width="14.26953125" style="172" bestFit="1" customWidth="1"/>
    <col min="18" max="18" width="9.81640625" style="172" bestFit="1" customWidth="1"/>
    <col min="19" max="19" width="10.81640625" style="172" bestFit="1" customWidth="1"/>
    <col min="20" max="20" width="15.1796875" style="172" bestFit="1" customWidth="1"/>
    <col min="21" max="21" width="15" style="172" bestFit="1" customWidth="1"/>
    <col min="22" max="22" width="10" style="172" bestFit="1" customWidth="1"/>
    <col min="23" max="23" width="12" style="172" bestFit="1" customWidth="1"/>
    <col min="24" max="24" width="8.54296875" style="172" bestFit="1" customWidth="1"/>
    <col min="25" max="25" width="11.36328125" style="166" bestFit="1" customWidth="1"/>
    <col min="26" max="26" width="10" style="166" bestFit="1" customWidth="1"/>
    <col min="27" max="27" width="12" style="166" bestFit="1" customWidth="1"/>
    <col min="28" max="28" width="8.54296875" style="166" bestFit="1" customWidth="1"/>
    <col min="29" max="29" width="7.90625" style="166" bestFit="1" customWidth="1"/>
    <col min="30" max="43" width="5.54296875" style="166" bestFit="1" customWidth="1"/>
    <col min="44" max="16384" width="10.7265625" style="166"/>
  </cols>
  <sheetData>
    <row r="1" spans="1:29" s="258" customFormat="1" ht="35" customHeight="1" x14ac:dyDescent="0.35">
      <c r="A1" s="261" t="s">
        <v>11</v>
      </c>
      <c r="B1" s="261" t="s">
        <v>16</v>
      </c>
      <c r="C1" s="255" t="s">
        <v>64</v>
      </c>
      <c r="D1" s="255" t="s">
        <v>65</v>
      </c>
      <c r="E1" s="255" t="s">
        <v>66</v>
      </c>
      <c r="F1" s="255" t="s">
        <v>67</v>
      </c>
      <c r="G1" s="255" t="s">
        <v>68</v>
      </c>
      <c r="H1" s="255" t="s">
        <v>69</v>
      </c>
      <c r="I1" s="255" t="s">
        <v>175</v>
      </c>
      <c r="J1" s="255" t="s">
        <v>171</v>
      </c>
      <c r="K1" s="255" t="s">
        <v>70</v>
      </c>
      <c r="L1" s="255" t="s">
        <v>71</v>
      </c>
      <c r="M1" s="255" t="s">
        <v>72</v>
      </c>
      <c r="N1" s="255" t="s">
        <v>73</v>
      </c>
      <c r="O1" s="255" t="s">
        <v>74</v>
      </c>
      <c r="P1" s="255" t="s">
        <v>75</v>
      </c>
      <c r="Q1" s="255" t="s">
        <v>76</v>
      </c>
      <c r="R1" s="255" t="s">
        <v>178</v>
      </c>
      <c r="S1" s="255" t="s">
        <v>162</v>
      </c>
      <c r="T1" s="255" t="s">
        <v>163</v>
      </c>
      <c r="U1" s="255" t="s">
        <v>124</v>
      </c>
      <c r="V1" s="255" t="s">
        <v>77</v>
      </c>
      <c r="W1" s="255" t="s">
        <v>172</v>
      </c>
      <c r="X1" s="255" t="s">
        <v>78</v>
      </c>
      <c r="Y1" s="255" t="s">
        <v>79</v>
      </c>
      <c r="Z1" s="255" t="s">
        <v>161</v>
      </c>
      <c r="AA1" s="255" t="s">
        <v>80</v>
      </c>
      <c r="AB1" s="255" t="s">
        <v>81</v>
      </c>
      <c r="AC1" s="255" t="s">
        <v>211</v>
      </c>
    </row>
    <row r="2" spans="1:29" ht="15.5" x14ac:dyDescent="0.35">
      <c r="A2" s="219">
        <f>Fixtures[[#This Row],[Date]]</f>
        <v>46271</v>
      </c>
      <c r="B2" s="221" t="str">
        <f>Fixtures[[#This Row],[Opposition]]</f>
        <v>DAN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243"/>
      <c r="Z2" s="241"/>
      <c r="AA2" s="241"/>
      <c r="AB2" s="241"/>
      <c r="AC2" s="245">
        <f>SUM(Goals[[#This Row],[Alf M]:[Will]])</f>
        <v>0</v>
      </c>
    </row>
    <row r="3" spans="1:29" ht="15.5" x14ac:dyDescent="0.35">
      <c r="A3" s="219">
        <v>46278</v>
      </c>
      <c r="B3" s="221">
        <f>Fixtures[[#This Row],[Opposition]]</f>
        <v>0</v>
      </c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244"/>
      <c r="Z3" s="239"/>
      <c r="AA3" s="239"/>
      <c r="AB3" s="239"/>
      <c r="AC3" s="245">
        <f>SUM(Goals[[#This Row],[Alf M]:[Will]])</f>
        <v>0</v>
      </c>
    </row>
    <row r="4" spans="1:29" ht="15.5" x14ac:dyDescent="0.35">
      <c r="A4" s="219">
        <v>46285</v>
      </c>
      <c r="B4" s="221">
        <f>Fixtures[[#This Row],[Opposition]]</f>
        <v>0</v>
      </c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244"/>
      <c r="Z4" s="239"/>
      <c r="AA4" s="239"/>
      <c r="AB4" s="239"/>
      <c r="AC4" s="245">
        <f>SUM(Goals[[#This Row],[Alf M]:[Will]])</f>
        <v>0</v>
      </c>
    </row>
    <row r="5" spans="1:29" ht="15.5" x14ac:dyDescent="0.35">
      <c r="A5" s="219">
        <v>46292</v>
      </c>
      <c r="B5" s="221">
        <f>Fixtures[[#This Row],[Opposition]]</f>
        <v>0</v>
      </c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244"/>
      <c r="Z5" s="239"/>
      <c r="AA5" s="239"/>
      <c r="AB5" s="239"/>
      <c r="AC5" s="245">
        <f>SUM(Goals[[#This Row],[Alf M]:[Will]])</f>
        <v>0</v>
      </c>
    </row>
    <row r="6" spans="1:29" ht="15.5" x14ac:dyDescent="0.35">
      <c r="A6" s="219">
        <v>46299</v>
      </c>
      <c r="B6" s="221">
        <f>Fixtures[[#This Row],[Opposition]]</f>
        <v>0</v>
      </c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244"/>
      <c r="Z6" s="239"/>
      <c r="AA6" s="239"/>
      <c r="AB6" s="239"/>
      <c r="AC6" s="245">
        <f>SUM(Goals[[#This Row],[Alf M]:[Will]])</f>
        <v>0</v>
      </c>
    </row>
    <row r="7" spans="1:29" ht="15.5" x14ac:dyDescent="0.35">
      <c r="A7" s="219">
        <v>46306</v>
      </c>
      <c r="B7" s="221">
        <f>Fixtures[[#This Row],[Opposition]]</f>
        <v>0</v>
      </c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244"/>
      <c r="Z7" s="239"/>
      <c r="AA7" s="239"/>
      <c r="AB7" s="239"/>
      <c r="AC7" s="245">
        <f>SUM(Goals[[#This Row],[Alf M]:[Will]])</f>
        <v>0</v>
      </c>
    </row>
    <row r="8" spans="1:29" ht="15.5" x14ac:dyDescent="0.35">
      <c r="A8" s="219">
        <v>46313</v>
      </c>
      <c r="B8" s="221">
        <f>Fixtures[[#This Row],[Opposition]]</f>
        <v>0</v>
      </c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244"/>
      <c r="Z8" s="239"/>
      <c r="AA8" s="239"/>
      <c r="AB8" s="239"/>
      <c r="AC8" s="245">
        <f>SUM(Goals[[#This Row],[Alf M]:[Will]])</f>
        <v>0</v>
      </c>
    </row>
    <row r="9" spans="1:29" ht="15.5" x14ac:dyDescent="0.35">
      <c r="A9" s="219">
        <v>46320</v>
      </c>
      <c r="B9" s="221">
        <f>Fixtures[[#This Row],[Opposition]]</f>
        <v>0</v>
      </c>
      <c r="C9" s="165"/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244"/>
      <c r="Z9" s="239"/>
      <c r="AA9" s="239"/>
      <c r="AB9" s="239"/>
      <c r="AC9" s="245">
        <f>SUM(Goals[[#This Row],[Alf M]:[Will]])</f>
        <v>0</v>
      </c>
    </row>
    <row r="10" spans="1:29" ht="15.5" x14ac:dyDescent="0.35">
      <c r="A10" s="219">
        <v>46327</v>
      </c>
      <c r="B10" s="221">
        <f>Fixtures[[#This Row],[Opposition]]</f>
        <v>0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244"/>
      <c r="Z10" s="239"/>
      <c r="AA10" s="239"/>
      <c r="AB10" s="239"/>
      <c r="AC10" s="245">
        <f>SUM(Goals[[#This Row],[Alf M]:[Will]])</f>
        <v>0</v>
      </c>
    </row>
    <row r="11" spans="1:29" ht="15.5" x14ac:dyDescent="0.35">
      <c r="A11" s="219">
        <v>46334</v>
      </c>
      <c r="B11" s="221">
        <f>Fixtures[[#This Row],[Opposition]]</f>
        <v>0</v>
      </c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244"/>
      <c r="Z11" s="239"/>
      <c r="AA11" s="239"/>
      <c r="AB11" s="239"/>
      <c r="AC11" s="245">
        <f>SUM(Goals[[#This Row],[Alf M]:[Will]])</f>
        <v>0</v>
      </c>
    </row>
    <row r="12" spans="1:29" ht="15.5" x14ac:dyDescent="0.35">
      <c r="A12" s="219">
        <v>46341</v>
      </c>
      <c r="B12" s="221">
        <f>Fixtures[[#This Row],[Opposition]]</f>
        <v>0</v>
      </c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244"/>
      <c r="Z12" s="239"/>
      <c r="AA12" s="239"/>
      <c r="AB12" s="239"/>
      <c r="AC12" s="245">
        <f>SUM(Goals[[#This Row],[Alf M]:[Will]])</f>
        <v>0</v>
      </c>
    </row>
    <row r="13" spans="1:29" ht="15.5" x14ac:dyDescent="0.35">
      <c r="A13" s="219">
        <v>46348</v>
      </c>
      <c r="B13" s="221">
        <f>Fixtures[[#This Row],[Opposition]]</f>
        <v>0</v>
      </c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244"/>
      <c r="Z13" s="239"/>
      <c r="AA13" s="239"/>
      <c r="AB13" s="239"/>
      <c r="AC13" s="245">
        <f>SUM(Goals[[#This Row],[Alf M]:[Will]])</f>
        <v>0</v>
      </c>
    </row>
    <row r="14" spans="1:29" ht="15.5" x14ac:dyDescent="0.35">
      <c r="A14" s="219">
        <v>46355</v>
      </c>
      <c r="B14" s="221">
        <f>Fixtures[[#This Row],[Opposition]]</f>
        <v>0</v>
      </c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244"/>
      <c r="Z14" s="239"/>
      <c r="AA14" s="239"/>
      <c r="AB14" s="239"/>
      <c r="AC14" s="245">
        <f>SUM(Goals[[#This Row],[Alf M]:[Will]])</f>
        <v>0</v>
      </c>
    </row>
    <row r="15" spans="1:29" ht="15.5" x14ac:dyDescent="0.35">
      <c r="A15" s="219">
        <v>46362</v>
      </c>
      <c r="B15" s="221">
        <f>Fixtures[[#This Row],[Opposition]]</f>
        <v>0</v>
      </c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244"/>
      <c r="Z15" s="239"/>
      <c r="AA15" s="239"/>
      <c r="AB15" s="239"/>
      <c r="AC15" s="245">
        <f>SUM(Goals[[#This Row],[Alf M]:[Will]])</f>
        <v>0</v>
      </c>
    </row>
    <row r="16" spans="1:29" ht="15.5" x14ac:dyDescent="0.35">
      <c r="A16" s="219">
        <v>46369</v>
      </c>
      <c r="B16" s="221">
        <f>Fixtures[[#This Row],[Opposition]]</f>
        <v>0</v>
      </c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244"/>
      <c r="Z16" s="239"/>
      <c r="AA16" s="239"/>
      <c r="AB16" s="239"/>
      <c r="AC16" s="245">
        <f>SUM(Goals[[#This Row],[Alf M]:[Will]])</f>
        <v>0</v>
      </c>
    </row>
    <row r="17" spans="1:29" ht="15.5" x14ac:dyDescent="0.35">
      <c r="A17" s="219">
        <v>46376</v>
      </c>
      <c r="B17" s="221">
        <f>Fixtures[[#This Row],[Opposition]]</f>
        <v>0</v>
      </c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244"/>
      <c r="Z17" s="239"/>
      <c r="AA17" s="239"/>
      <c r="AB17" s="239"/>
      <c r="AC17" s="245">
        <f>SUM(Goals[[#This Row],[Alf M]:[Will]])</f>
        <v>0</v>
      </c>
    </row>
    <row r="18" spans="1:29" ht="15.5" x14ac:dyDescent="0.35">
      <c r="A18" s="219">
        <v>46383</v>
      </c>
      <c r="B18" s="221">
        <f>Fixtures[[#This Row],[Opposition]]</f>
        <v>0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244"/>
      <c r="Z18" s="239"/>
      <c r="AA18" s="239"/>
      <c r="AB18" s="239"/>
      <c r="AC18" s="245">
        <f>SUM(Goals[[#This Row],[Alf M]:[Will]])</f>
        <v>0</v>
      </c>
    </row>
    <row r="19" spans="1:29" ht="15.5" x14ac:dyDescent="0.35">
      <c r="A19" s="219">
        <v>46390</v>
      </c>
      <c r="B19" s="221">
        <f>Fixtures[[#This Row],[Opposition]]</f>
        <v>0</v>
      </c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244"/>
      <c r="Z19" s="239"/>
      <c r="AA19" s="239"/>
      <c r="AB19" s="239"/>
      <c r="AC19" s="245">
        <f>SUM(Goals[[#This Row],[Alf M]:[Will]])</f>
        <v>0</v>
      </c>
    </row>
    <row r="20" spans="1:29" ht="15.5" x14ac:dyDescent="0.35">
      <c r="A20" s="219">
        <v>46397</v>
      </c>
      <c r="B20" s="221">
        <f>Fixtures[[#This Row],[Opposition]]</f>
        <v>0</v>
      </c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244"/>
      <c r="Z20" s="239"/>
      <c r="AA20" s="239"/>
      <c r="AB20" s="239"/>
      <c r="AC20" s="245">
        <f>SUM(Goals[[#This Row],[Alf M]:[Will]])</f>
        <v>0</v>
      </c>
    </row>
    <row r="21" spans="1:29" ht="15.5" x14ac:dyDescent="0.35">
      <c r="A21" s="219">
        <v>46404</v>
      </c>
      <c r="B21" s="221">
        <f>Fixtures[[#This Row],[Opposition]]</f>
        <v>0</v>
      </c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244"/>
      <c r="Z21" s="239"/>
      <c r="AA21" s="239"/>
      <c r="AB21" s="239"/>
      <c r="AC21" s="245">
        <f>SUM(Goals[[#This Row],[Alf M]:[Will]])</f>
        <v>0</v>
      </c>
    </row>
    <row r="22" spans="1:29" ht="15.5" x14ac:dyDescent="0.35">
      <c r="A22" s="219">
        <v>46411</v>
      </c>
      <c r="B22" s="221">
        <f>Fixtures[[#This Row],[Opposition]]</f>
        <v>0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244"/>
      <c r="Z22" s="239"/>
      <c r="AA22" s="239"/>
      <c r="AB22" s="239"/>
      <c r="AC22" s="245">
        <f>SUM(Goals[[#This Row],[Alf M]:[Will]])</f>
        <v>0</v>
      </c>
    </row>
    <row r="23" spans="1:29" ht="15.5" x14ac:dyDescent="0.35">
      <c r="A23" s="219">
        <v>46418</v>
      </c>
      <c r="B23" s="221">
        <f>Fixtures[[#This Row],[Opposition]]</f>
        <v>0</v>
      </c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244"/>
      <c r="Z23" s="239"/>
      <c r="AA23" s="239"/>
      <c r="AB23" s="239"/>
      <c r="AC23" s="245">
        <f>SUM(Goals[[#This Row],[Alf M]:[Will]])</f>
        <v>0</v>
      </c>
    </row>
    <row r="24" spans="1:29" ht="15.5" x14ac:dyDescent="0.35">
      <c r="A24" s="219">
        <v>46425</v>
      </c>
      <c r="B24" s="221">
        <f>Fixtures[[#This Row],[Opposition]]</f>
        <v>0</v>
      </c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244"/>
      <c r="Z24" s="239"/>
      <c r="AA24" s="239"/>
      <c r="AB24" s="239"/>
      <c r="AC24" s="245">
        <f>SUM(Goals[[#This Row],[Alf M]:[Will]])</f>
        <v>0</v>
      </c>
    </row>
    <row r="25" spans="1:29" ht="15.5" x14ac:dyDescent="0.35">
      <c r="A25" s="219">
        <v>46432</v>
      </c>
      <c r="B25" s="221">
        <f>Fixtures[[#This Row],[Opposition]]</f>
        <v>0</v>
      </c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244"/>
      <c r="Z25" s="239"/>
      <c r="AA25" s="239"/>
      <c r="AB25" s="239"/>
      <c r="AC25" s="245">
        <f>SUM(Goals[[#This Row],[Alf M]:[Will]])</f>
        <v>0</v>
      </c>
    </row>
    <row r="26" spans="1:29" ht="15.5" x14ac:dyDescent="0.35">
      <c r="A26" s="219">
        <v>46439</v>
      </c>
      <c r="B26" s="221">
        <f>Fixtures[[#This Row],[Opposition]]</f>
        <v>0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244"/>
      <c r="Z26" s="239"/>
      <c r="AA26" s="239"/>
      <c r="AB26" s="239"/>
      <c r="AC26" s="245">
        <f>SUM(Goals[[#This Row],[Alf M]:[Will]])</f>
        <v>0</v>
      </c>
    </row>
    <row r="27" spans="1:29" ht="15.5" x14ac:dyDescent="0.35">
      <c r="A27" s="219">
        <v>46446</v>
      </c>
      <c r="B27" s="221">
        <f>Fixtures[[#This Row],[Opposition]]</f>
        <v>0</v>
      </c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244"/>
      <c r="Z27" s="239"/>
      <c r="AA27" s="239"/>
      <c r="AB27" s="239"/>
      <c r="AC27" s="245">
        <f>SUM(Goals[[#This Row],[Alf M]:[Will]])</f>
        <v>0</v>
      </c>
    </row>
    <row r="28" spans="1:29" ht="15.5" x14ac:dyDescent="0.35">
      <c r="A28" s="219">
        <v>46453</v>
      </c>
      <c r="B28" s="221">
        <f>Fixtures[[#This Row],[Opposition]]</f>
        <v>0</v>
      </c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244"/>
      <c r="Z28" s="239"/>
      <c r="AA28" s="239"/>
      <c r="AB28" s="239"/>
      <c r="AC28" s="245">
        <f>SUM(Goals[[#This Row],[Alf M]:[Will]])</f>
        <v>0</v>
      </c>
    </row>
    <row r="29" spans="1:29" ht="15.5" x14ac:dyDescent="0.35">
      <c r="A29" s="219">
        <v>46460</v>
      </c>
      <c r="B29" s="221">
        <f>Fixtures[[#This Row],[Opposition]]</f>
        <v>0</v>
      </c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244"/>
      <c r="Z29" s="239"/>
      <c r="AA29" s="239"/>
      <c r="AB29" s="239"/>
      <c r="AC29" s="245">
        <f>SUM(Goals[[#This Row],[Alf M]:[Will]])</f>
        <v>0</v>
      </c>
    </row>
    <row r="30" spans="1:29" ht="15.5" x14ac:dyDescent="0.35">
      <c r="A30" s="219">
        <v>46467</v>
      </c>
      <c r="B30" s="221">
        <f>Fixtures[[#This Row],[Opposition]]</f>
        <v>0</v>
      </c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244"/>
      <c r="Z30" s="239"/>
      <c r="AA30" s="239"/>
      <c r="AB30" s="239"/>
      <c r="AC30" s="245">
        <f>SUM(Goals[[#This Row],[Alf M]:[Will]])</f>
        <v>0</v>
      </c>
    </row>
    <row r="31" spans="1:29" ht="15.5" x14ac:dyDescent="0.35">
      <c r="A31" s="219">
        <v>46474</v>
      </c>
      <c r="B31" s="221">
        <f>Fixtures[[#This Row],[Opposition]]</f>
        <v>0</v>
      </c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244"/>
      <c r="Z31" s="239"/>
      <c r="AA31" s="239"/>
      <c r="AB31" s="239"/>
      <c r="AC31" s="245">
        <f>SUM(Goals[[#This Row],[Alf M]:[Will]])</f>
        <v>0</v>
      </c>
    </row>
    <row r="32" spans="1:29" ht="15.5" x14ac:dyDescent="0.35">
      <c r="A32" s="219">
        <v>46481</v>
      </c>
      <c r="B32" s="221">
        <f>Fixtures[[#This Row],[Opposition]]</f>
        <v>0</v>
      </c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244"/>
      <c r="Z32" s="239"/>
      <c r="AA32" s="239"/>
      <c r="AB32" s="239"/>
      <c r="AC32" s="245">
        <f>SUM(Goals[[#This Row],[Alf M]:[Will]])</f>
        <v>0</v>
      </c>
    </row>
    <row r="33" spans="1:29" ht="15.5" x14ac:dyDescent="0.35">
      <c r="A33" s="219">
        <v>46488</v>
      </c>
      <c r="B33" s="221">
        <f>Fixtures[[#This Row],[Opposition]]</f>
        <v>0</v>
      </c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244"/>
      <c r="Z33" s="239"/>
      <c r="AA33" s="239"/>
      <c r="AB33" s="239"/>
      <c r="AC33" s="245">
        <f>SUM(Goals[[#This Row],[Alf M]:[Will]])</f>
        <v>0</v>
      </c>
    </row>
    <row r="34" spans="1:29" ht="15.5" x14ac:dyDescent="0.35">
      <c r="A34" s="219">
        <v>46495</v>
      </c>
      <c r="B34" s="221">
        <f>Fixtures[[#This Row],[Opposition]]</f>
        <v>0</v>
      </c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244"/>
      <c r="Z34" s="239"/>
      <c r="AA34" s="239"/>
      <c r="AB34" s="239"/>
      <c r="AC34" s="245">
        <f>SUM(Goals[[#This Row],[Alf M]:[Will]])</f>
        <v>0</v>
      </c>
    </row>
    <row r="35" spans="1:29" ht="15.5" x14ac:dyDescent="0.35">
      <c r="A35" s="219">
        <v>46502</v>
      </c>
      <c r="B35" s="221">
        <f>Fixtures[[#This Row],[Opposition]]</f>
        <v>0</v>
      </c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244"/>
      <c r="Z35" s="239"/>
      <c r="AA35" s="239"/>
      <c r="AB35" s="239"/>
      <c r="AC35" s="245">
        <f>SUM(Goals[[#This Row],[Alf M]:[Will]])</f>
        <v>0</v>
      </c>
    </row>
    <row r="36" spans="1:29" ht="15.5" x14ac:dyDescent="0.35">
      <c r="A36" s="219">
        <v>46509</v>
      </c>
      <c r="B36" s="221">
        <f>Fixtures[[#This Row],[Opposition]]</f>
        <v>0</v>
      </c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244"/>
      <c r="Z36" s="239"/>
      <c r="AA36" s="239"/>
      <c r="AB36" s="239"/>
      <c r="AC36" s="245">
        <f>SUM(Goals[[#This Row],[Alf M]:[Will]])</f>
        <v>0</v>
      </c>
    </row>
    <row r="37" spans="1:29" ht="20" x14ac:dyDescent="0.35">
      <c r="A37" s="219">
        <v>46516</v>
      </c>
      <c r="B37" s="221">
        <f>Fixtures[[#This Row],[Opposition]]</f>
        <v>0</v>
      </c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244"/>
      <c r="Z37" s="239"/>
      <c r="AA37" s="239"/>
      <c r="AB37" s="239"/>
      <c r="AC37" s="245">
        <f>SUM(Goals[[#This Row],[Alf M]:[Will]])</f>
        <v>0</v>
      </c>
    </row>
    <row r="38" spans="1:29" ht="15.5" x14ac:dyDescent="0.35">
      <c r="A38" s="219">
        <v>46523</v>
      </c>
      <c r="B38" s="221">
        <f>Fixtures[[#This Row],[Opposition]]</f>
        <v>0</v>
      </c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244"/>
      <c r="Z38" s="239"/>
      <c r="AA38" s="239"/>
      <c r="AB38" s="239"/>
      <c r="AC38" s="245">
        <f>SUM(Goals[[#This Row],[Alf M]:[Will]])</f>
        <v>0</v>
      </c>
    </row>
    <row r="39" spans="1:29" ht="15.5" x14ac:dyDescent="0.35">
      <c r="A39" s="219">
        <v>46530</v>
      </c>
      <c r="B39" s="221">
        <f>Fixtures[[#This Row],[Opposition]]</f>
        <v>0</v>
      </c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244"/>
      <c r="Z39" s="239"/>
      <c r="AA39" s="239"/>
      <c r="AB39" s="239"/>
      <c r="AC39" s="245">
        <f>SUM(Goals[[#This Row],[Alf M]:[Will]])</f>
        <v>0</v>
      </c>
    </row>
    <row r="40" spans="1:29" ht="15.5" x14ac:dyDescent="0.35">
      <c r="A40" s="219">
        <v>46537</v>
      </c>
      <c r="B40" s="221">
        <f>Fixtures[[#This Row],[Opposition]]</f>
        <v>0</v>
      </c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244"/>
      <c r="Z40" s="239"/>
      <c r="AA40" s="239"/>
      <c r="AB40" s="239"/>
      <c r="AC40" s="245">
        <f>SUM(Goals[[#This Row],[Alf M]:[Will]])</f>
        <v>0</v>
      </c>
    </row>
    <row r="41" spans="1:29" ht="15.5" x14ac:dyDescent="0.35">
      <c r="A41" s="219">
        <v>46544</v>
      </c>
      <c r="B41" s="221">
        <f>Fixtures[[#This Row],[Opposition]]</f>
        <v>0</v>
      </c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244"/>
      <c r="Z41" s="239"/>
      <c r="AA41" s="239"/>
      <c r="AB41" s="239"/>
      <c r="AC41" s="245">
        <f>SUM(Goals[[#This Row],[Alf M]:[Will]])</f>
        <v>0</v>
      </c>
    </row>
    <row r="42" spans="1:29" s="169" customFormat="1" ht="20" x14ac:dyDescent="0.4">
      <c r="A42" s="219">
        <v>46551</v>
      </c>
      <c r="B42" s="221">
        <f>Fixtures[[#This Row],[Opposition]]</f>
        <v>0</v>
      </c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244"/>
      <c r="Z42" s="240"/>
      <c r="AA42" s="240"/>
      <c r="AB42" s="240"/>
      <c r="AC42" s="245">
        <f>SUM(Goals[[#This Row],[Alf M]:[Will]])</f>
        <v>0</v>
      </c>
    </row>
    <row r="43" spans="1:29" ht="15.5" x14ac:dyDescent="0.35">
      <c r="A43" s="219">
        <v>46558</v>
      </c>
      <c r="B43" s="221">
        <f>Fixtures[[#This Row],[Opposition]]</f>
        <v>0</v>
      </c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244"/>
      <c r="Z43" s="239"/>
      <c r="AA43" s="239"/>
      <c r="AB43" s="239"/>
      <c r="AC43" s="245">
        <f>SUM(Goals[[#This Row],[Alf M]:[Will]])</f>
        <v>0</v>
      </c>
    </row>
    <row r="44" spans="1:29" ht="15.5" x14ac:dyDescent="0.35">
      <c r="A44" s="219">
        <v>46565</v>
      </c>
      <c r="B44" s="221">
        <f>Fixtures[[#This Row],[Opposition]]</f>
        <v>0</v>
      </c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244"/>
      <c r="Z44" s="239"/>
      <c r="AA44" s="239"/>
      <c r="AB44" s="239"/>
      <c r="AC44" s="245">
        <f>SUM(Goals[[#This Row],[Alf M]:[Will]])</f>
        <v>0</v>
      </c>
    </row>
    <row r="45" spans="1:29" ht="15.5" x14ac:dyDescent="0.35">
      <c r="A45" s="219">
        <v>46572</v>
      </c>
      <c r="B45" s="221">
        <f>Fixtures[[#This Row],[Opposition]]</f>
        <v>0</v>
      </c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244"/>
      <c r="Z45" s="239"/>
      <c r="AA45" s="239"/>
      <c r="AB45" s="239"/>
      <c r="AC45" s="245">
        <f>SUM(Goals[[#This Row],[Alf M]:[Will]])</f>
        <v>0</v>
      </c>
    </row>
    <row r="46" spans="1:29" ht="15.5" x14ac:dyDescent="0.35">
      <c r="A46" s="219">
        <v>46579</v>
      </c>
      <c r="B46" s="221">
        <f>Fixtures[[#This Row],[Opposition]]</f>
        <v>0</v>
      </c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244"/>
      <c r="Z46" s="239"/>
      <c r="AA46" s="239"/>
      <c r="AB46" s="239"/>
      <c r="AC46" s="245">
        <f>SUM(Goals[[#This Row],[Alf M]:[Will]])</f>
        <v>0</v>
      </c>
    </row>
    <row r="47" spans="1:29" ht="15.5" x14ac:dyDescent="0.35">
      <c r="A47" s="219">
        <v>46586</v>
      </c>
      <c r="B47" s="221">
        <f>Fixtures[[#This Row],[Opposition]]</f>
        <v>0</v>
      </c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244"/>
      <c r="Z47" s="239"/>
      <c r="AA47" s="239"/>
      <c r="AB47" s="239"/>
      <c r="AC47" s="245">
        <f>SUM(Goals[[#This Row],[Alf M]:[Will]])</f>
        <v>0</v>
      </c>
    </row>
    <row r="48" spans="1:29" ht="15.5" x14ac:dyDescent="0.35">
      <c r="A48" s="219">
        <v>46593</v>
      </c>
      <c r="B48" s="221">
        <f>Fixtures[[#This Row],[Opposition]]</f>
        <v>0</v>
      </c>
      <c r="C48" s="165"/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244"/>
      <c r="Z48" s="239"/>
      <c r="AA48" s="239"/>
      <c r="AB48" s="239"/>
      <c r="AC48" s="245">
        <f>SUM(Goals[[#This Row],[Alf M]:[Will]])</f>
        <v>0</v>
      </c>
    </row>
    <row r="49" spans="1:29" ht="15.5" x14ac:dyDescent="0.35">
      <c r="A49" s="219">
        <v>46600</v>
      </c>
      <c r="B49" s="221">
        <f>Fixtures[[#This Row],[Opposition]]</f>
        <v>0</v>
      </c>
      <c r="C49" s="165"/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244"/>
      <c r="Z49" s="239"/>
      <c r="AA49" s="239"/>
      <c r="AB49" s="239"/>
      <c r="AC49" s="245">
        <f>SUM(Goals[[#This Row],[Alf M]:[Will]])</f>
        <v>0</v>
      </c>
    </row>
    <row r="50" spans="1:29" ht="15.5" x14ac:dyDescent="0.35">
      <c r="A50" s="219">
        <v>46607</v>
      </c>
      <c r="B50" s="221">
        <f>Fixtures[[#This Row],[Opposition]]</f>
        <v>0</v>
      </c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244"/>
      <c r="Z50" s="239"/>
      <c r="AA50" s="239"/>
      <c r="AB50" s="239"/>
      <c r="AC50" s="245">
        <f>SUM(Goals[[#This Row],[Alf M]:[Will]])</f>
        <v>0</v>
      </c>
    </row>
    <row r="51" spans="1:29" ht="15.5" x14ac:dyDescent="0.35">
      <c r="A51" s="219">
        <v>46614</v>
      </c>
      <c r="B51" s="221">
        <f>Fixtures[[#This Row],[Opposition]]</f>
        <v>0</v>
      </c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244"/>
      <c r="Z51" s="239"/>
      <c r="AA51" s="239"/>
      <c r="AB51" s="239"/>
      <c r="AC51" s="245">
        <f>SUM(Goals[[#This Row],[Alf M]:[Will]])</f>
        <v>0</v>
      </c>
    </row>
    <row r="52" spans="1:29" ht="15.5" x14ac:dyDescent="0.35">
      <c r="A52" s="219">
        <v>46621</v>
      </c>
      <c r="B52" s="221">
        <f>Fixtures[[#This Row],[Opposition]]</f>
        <v>0</v>
      </c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244"/>
      <c r="Z52" s="239"/>
      <c r="AA52" s="239"/>
      <c r="AB52" s="239"/>
      <c r="AC52" s="245">
        <f>SUM(Goals[[#This Row],[Alf M]:[Will]])</f>
        <v>0</v>
      </c>
    </row>
    <row r="53" spans="1:29" ht="15.5" x14ac:dyDescent="0.35">
      <c r="A53" s="219">
        <v>46628</v>
      </c>
      <c r="B53" s="221">
        <f>Fixtures[[#This Row],[Opposition]]</f>
        <v>0</v>
      </c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244"/>
      <c r="Z53" s="242"/>
      <c r="AA53" s="242"/>
      <c r="AB53" s="242"/>
      <c r="AC53" s="245">
        <f>SUM(Goals[[#This Row],[Alf M]:[Will]])</f>
        <v>0</v>
      </c>
    </row>
    <row r="54" spans="1:29" ht="20" x14ac:dyDescent="0.4">
      <c r="A54" s="217"/>
      <c r="B54" s="170" t="s">
        <v>82</v>
      </c>
      <c r="C54" s="171">
        <f>SUBTOTAL(109,Goals[Alf M])</f>
        <v>0</v>
      </c>
      <c r="D54" s="171">
        <f>SUBTOTAL(109,Goals[Alfie F])</f>
        <v>0</v>
      </c>
      <c r="E54" s="171">
        <f>SUBTOTAL(109,Goals[Bailey])</f>
        <v>0</v>
      </c>
      <c r="F54" s="171">
        <f>SUBTOTAL(109,Goals[Brad])</f>
        <v>0</v>
      </c>
      <c r="G54" s="171">
        <f>SUBTOTAL(109,Goals[Callum])</f>
        <v>0</v>
      </c>
      <c r="H54" s="171">
        <f>SUBTOTAL(109,Goals[Danny])</f>
        <v>0</v>
      </c>
      <c r="I54" s="171">
        <f>SUBTOTAL(109,Goals[Ethan])</f>
        <v>0</v>
      </c>
      <c r="J54" s="171">
        <f>SUBTOTAL(109,Goals[Freddie])</f>
        <v>0</v>
      </c>
      <c r="K54" s="171">
        <f>SUBTOTAL(109,Goals[George])</f>
        <v>0</v>
      </c>
      <c r="L54" s="171">
        <f>SUBTOTAL(109,Goals[Jamie])</f>
        <v>0</v>
      </c>
      <c r="M54" s="171">
        <f>SUBTOTAL(109,Goals[Jay])</f>
        <v>0</v>
      </c>
      <c r="N54" s="171">
        <f>SUBTOTAL(109,Goals[Joe])</f>
        <v>0</v>
      </c>
      <c r="O54" s="171">
        <f>SUBTOTAL(109,Goals[Josh])</f>
        <v>0</v>
      </c>
      <c r="P54" s="171">
        <f>SUBTOTAL(109,Goals[Jude])</f>
        <v>0</v>
      </c>
      <c r="Q54" s="171">
        <f>SUBTOTAL(109,Goals[Kalan])</f>
        <v>0</v>
      </c>
      <c r="R54" s="171">
        <f>SUBTOTAL(109,Goals[Kazeem])</f>
        <v>0</v>
      </c>
      <c r="S54" s="171">
        <f>SUBTOTAL(109,Goals[Keiran D])</f>
        <v>0</v>
      </c>
      <c r="T54" s="171">
        <f>SUBTOTAL(109,Goals[Keiran R])</f>
        <v>0</v>
      </c>
      <c r="U54" s="171">
        <f>SUBTOTAL(109,Goals[Liam])</f>
        <v>0</v>
      </c>
      <c r="V54" s="171">
        <f>SUBTOTAL(109,Goals[Louie])</f>
        <v>0</v>
      </c>
      <c r="W54" s="171">
        <f>SUBTOTAL(109,Goals[Rocco])</f>
        <v>0</v>
      </c>
      <c r="X54" s="171">
        <f>SUBTOTAL(109,Goals[Ronnie D])</f>
        <v>0</v>
      </c>
      <c r="Y54" s="169">
        <f>SUBTOTAL(109,Goals[Ronnie T])</f>
        <v>0</v>
      </c>
      <c r="Z54" s="169">
        <f>SUBTOTAL(109,Goals[Ryan])</f>
        <v>0</v>
      </c>
      <c r="AA54" s="169">
        <f>SUBTOTAL(109,Goals[Ryeley])</f>
        <v>0</v>
      </c>
      <c r="AB54" s="169">
        <f>SUBTOTAL(109,Goals[Will])</f>
        <v>0</v>
      </c>
      <c r="AC54" s="169">
        <f>SUBTOTAL(109,Goals[count])</f>
        <v>0</v>
      </c>
    </row>
    <row r="61" spans="1:29" s="173" customFormat="1" ht="17.5" x14ac:dyDescent="0.35">
      <c r="B61" s="218"/>
      <c r="C61" s="164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66"/>
      <c r="Z61" s="166"/>
    </row>
  </sheetData>
  <phoneticPr fontId="1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09CFE-8E88-4686-B51B-9E07D2FFF938}">
  <sheetPr>
    <tabColor rgb="FF00B0F0"/>
  </sheetPr>
  <dimension ref="A1:AC115"/>
  <sheetViews>
    <sheetView zoomScale="85" zoomScaleNormal="85" workbookViewId="0">
      <pane xSplit="2" ySplit="1" topLeftCell="C2" activePane="bottomRight" state="frozen"/>
      <selection activeCell="N25" sqref="N25"/>
      <selection pane="topRight" activeCell="N25" sqref="N25"/>
      <selection pane="bottomLeft" activeCell="N25" sqref="N25"/>
      <selection pane="bottomRight" activeCell="N25" sqref="N25"/>
    </sheetView>
  </sheetViews>
  <sheetFormatPr defaultColWidth="10.7265625" defaultRowHeight="14.5" x14ac:dyDescent="0.35"/>
  <cols>
    <col min="2" max="2" width="17.6328125" style="221" bestFit="1" customWidth="1"/>
    <col min="3" max="3" width="10.26953125" style="164" bestFit="1" customWidth="1"/>
    <col min="4" max="4" width="11.7265625" style="172" bestFit="1" customWidth="1"/>
    <col min="5" max="5" width="11.36328125" style="172" bestFit="1" customWidth="1"/>
    <col min="6" max="6" width="9.6328125" style="172" bestFit="1" customWidth="1"/>
    <col min="7" max="7" width="12.36328125" style="172" bestFit="1" customWidth="1"/>
    <col min="8" max="8" width="11.6328125" style="172" bestFit="1" customWidth="1"/>
    <col min="9" max="9" width="12.81640625" style="172" bestFit="1" customWidth="1"/>
    <col min="10" max="10" width="11" style="172" bestFit="1" customWidth="1"/>
    <col min="11" max="11" width="8" style="172" bestFit="1" customWidth="1"/>
    <col min="12" max="12" width="8.1796875" style="172" bestFit="1" customWidth="1"/>
    <col min="13" max="14" width="9.81640625" style="172" bestFit="1" customWidth="1"/>
    <col min="15" max="15" width="10.81640625" style="172" bestFit="1" customWidth="1"/>
    <col min="16" max="17" width="14.26953125" style="172" bestFit="1" customWidth="1"/>
    <col min="18" max="18" width="9.81640625" style="172" bestFit="1" customWidth="1"/>
    <col min="19" max="19" width="10.81640625" style="172" bestFit="1" customWidth="1"/>
    <col min="20" max="20" width="15.1796875" style="172" bestFit="1" customWidth="1"/>
    <col min="21" max="21" width="15" style="172" bestFit="1" customWidth="1"/>
    <col min="22" max="24" width="15" style="172" customWidth="1"/>
    <col min="25" max="25" width="10" style="172" bestFit="1" customWidth="1"/>
    <col min="26" max="26" width="10" style="172" customWidth="1"/>
    <col min="27" max="27" width="12" style="172" bestFit="1" customWidth="1"/>
    <col min="28" max="28" width="8.54296875" style="172" bestFit="1" customWidth="1"/>
    <col min="29" max="30" width="8.453125" style="166" customWidth="1"/>
    <col min="31" max="47" width="5.54296875" style="166" bestFit="1" customWidth="1"/>
    <col min="48" max="16384" width="10.7265625" style="166"/>
  </cols>
  <sheetData>
    <row r="1" spans="1:29" s="258" customFormat="1" ht="35" customHeight="1" x14ac:dyDescent="0.35">
      <c r="A1" s="259" t="s">
        <v>11</v>
      </c>
      <c r="B1" s="260" t="s">
        <v>16</v>
      </c>
      <c r="C1" s="255" t="s">
        <v>64</v>
      </c>
      <c r="D1" s="255" t="s">
        <v>65</v>
      </c>
      <c r="E1" s="255" t="s">
        <v>66</v>
      </c>
      <c r="F1" s="255" t="s">
        <v>67</v>
      </c>
      <c r="G1" s="255" t="s">
        <v>68</v>
      </c>
      <c r="H1" s="255" t="s">
        <v>69</v>
      </c>
      <c r="I1" s="255" t="s">
        <v>175</v>
      </c>
      <c r="J1" s="255" t="s">
        <v>171</v>
      </c>
      <c r="K1" s="255" t="s">
        <v>70</v>
      </c>
      <c r="L1" s="255" t="s">
        <v>71</v>
      </c>
      <c r="M1" s="255" t="s">
        <v>72</v>
      </c>
      <c r="N1" s="255" t="s">
        <v>73</v>
      </c>
      <c r="O1" s="255" t="s">
        <v>74</v>
      </c>
      <c r="P1" s="255" t="s">
        <v>75</v>
      </c>
      <c r="Q1" s="255" t="s">
        <v>76</v>
      </c>
      <c r="R1" s="255" t="s">
        <v>178</v>
      </c>
      <c r="S1" s="255" t="s">
        <v>162</v>
      </c>
      <c r="T1" s="255" t="s">
        <v>163</v>
      </c>
      <c r="U1" s="255" t="s">
        <v>124</v>
      </c>
      <c r="V1" s="255" t="s">
        <v>77</v>
      </c>
      <c r="W1" s="255" t="s">
        <v>172</v>
      </c>
      <c r="X1" s="255" t="s">
        <v>78</v>
      </c>
      <c r="Y1" s="255" t="s">
        <v>79</v>
      </c>
      <c r="Z1" s="255" t="s">
        <v>161</v>
      </c>
      <c r="AA1" s="255" t="s">
        <v>80</v>
      </c>
      <c r="AB1" s="255" t="s">
        <v>81</v>
      </c>
      <c r="AC1" s="258" t="s">
        <v>0</v>
      </c>
    </row>
    <row r="2" spans="1:29" ht="15.5" x14ac:dyDescent="0.35">
      <c r="A2" s="219">
        <v>46271</v>
      </c>
      <c r="B2" s="221" t="str">
        <f>Fixtures[[#This Row],[Opposition]]</f>
        <v>DAN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165"/>
      <c r="AC2" s="19">
        <f>SUM(Assists[[#This Row],[Alf M]:[Will]])</f>
        <v>0</v>
      </c>
    </row>
    <row r="3" spans="1:29" ht="15.5" x14ac:dyDescent="0.35">
      <c r="A3" s="219">
        <v>46278</v>
      </c>
      <c r="B3" s="221">
        <f>Fixtures[[#This Row],[Opposition]]</f>
        <v>0</v>
      </c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9">
        <f>SUM(Assists[[#This Row],[Alf M]:[Will]])</f>
        <v>0</v>
      </c>
    </row>
    <row r="4" spans="1:29" ht="15.5" x14ac:dyDescent="0.35">
      <c r="A4" s="219">
        <v>46285</v>
      </c>
      <c r="B4" s="221">
        <f>Fixtures[[#This Row],[Opposition]]</f>
        <v>0</v>
      </c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9">
        <f>SUM(Assists[[#This Row],[Alf M]:[Will]])</f>
        <v>0</v>
      </c>
    </row>
    <row r="5" spans="1:29" ht="15.5" x14ac:dyDescent="0.35">
      <c r="A5" s="219">
        <v>46292</v>
      </c>
      <c r="B5" s="221">
        <f>Fixtures[[#This Row],[Opposition]]</f>
        <v>0</v>
      </c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5"/>
      <c r="AC5" s="19">
        <f>SUM(Assists[[#This Row],[Alf M]:[Will]])</f>
        <v>0</v>
      </c>
    </row>
    <row r="6" spans="1:29" ht="15.5" x14ac:dyDescent="0.35">
      <c r="A6" s="219">
        <v>46299</v>
      </c>
      <c r="B6" s="221">
        <f>Fixtures[[#This Row],[Opposition]]</f>
        <v>0</v>
      </c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9">
        <f>SUM(Assists[[#This Row],[Alf M]:[Will]])</f>
        <v>0</v>
      </c>
    </row>
    <row r="7" spans="1:29" ht="15.5" x14ac:dyDescent="0.35">
      <c r="A7" s="219">
        <v>46306</v>
      </c>
      <c r="B7" s="221">
        <f>Fixtures[[#This Row],[Opposition]]</f>
        <v>0</v>
      </c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9">
        <f>SUM(Assists[[#This Row],[Alf M]:[Will]])</f>
        <v>0</v>
      </c>
    </row>
    <row r="8" spans="1:29" ht="15.5" x14ac:dyDescent="0.35">
      <c r="A8" s="219">
        <v>46313</v>
      </c>
      <c r="B8" s="221">
        <f>Fixtures[[#This Row],[Opposition]]</f>
        <v>0</v>
      </c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9">
        <f>SUM(Assists[[#This Row],[Alf M]:[Will]])</f>
        <v>0</v>
      </c>
    </row>
    <row r="9" spans="1:29" ht="15.5" x14ac:dyDescent="0.35">
      <c r="A9" s="219">
        <v>46320</v>
      </c>
      <c r="B9" s="221">
        <f>Fixtures[[#This Row],[Opposition]]</f>
        <v>0</v>
      </c>
      <c r="C9" s="165"/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9">
        <f>SUM(Assists[[#This Row],[Alf M]:[Will]])</f>
        <v>0</v>
      </c>
    </row>
    <row r="10" spans="1:29" ht="15.5" x14ac:dyDescent="0.35">
      <c r="A10" s="219">
        <v>46327</v>
      </c>
      <c r="B10" s="221">
        <f>Fixtures[[#This Row],[Opposition]]</f>
        <v>0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167"/>
      <c r="AC10" s="19">
        <f>SUM(Assists[[#This Row],[Alf M]:[Will]])</f>
        <v>0</v>
      </c>
    </row>
    <row r="11" spans="1:29" ht="15.5" x14ac:dyDescent="0.35">
      <c r="A11" s="219">
        <v>46334</v>
      </c>
      <c r="B11" s="221">
        <f>Fixtures[[#This Row],[Opposition]]</f>
        <v>0</v>
      </c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9">
        <f>SUM(Assists[[#This Row],[Alf M]:[Will]])</f>
        <v>0</v>
      </c>
    </row>
    <row r="12" spans="1:29" ht="15.5" x14ac:dyDescent="0.35">
      <c r="A12" s="219">
        <v>46341</v>
      </c>
      <c r="B12" s="221">
        <f>Fixtures[[#This Row],[Opposition]]</f>
        <v>0</v>
      </c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9">
        <f>SUM(Assists[[#This Row],[Alf M]:[Will]])</f>
        <v>0</v>
      </c>
    </row>
    <row r="13" spans="1:29" ht="15.5" x14ac:dyDescent="0.35">
      <c r="A13" s="219">
        <v>46348</v>
      </c>
      <c r="B13" s="221">
        <f>Fixtures[[#This Row],[Opposition]]</f>
        <v>0</v>
      </c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9">
        <f>SUM(Assists[[#This Row],[Alf M]:[Will]])</f>
        <v>0</v>
      </c>
    </row>
    <row r="14" spans="1:29" ht="15.5" x14ac:dyDescent="0.35">
      <c r="A14" s="219">
        <v>46355</v>
      </c>
      <c r="B14" s="221">
        <f>Fixtures[[#This Row],[Opposition]]</f>
        <v>0</v>
      </c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9">
        <f>SUM(Assists[[#This Row],[Alf M]:[Will]])</f>
        <v>0</v>
      </c>
    </row>
    <row r="15" spans="1:29" ht="15.5" x14ac:dyDescent="0.35">
      <c r="A15" s="219">
        <v>46362</v>
      </c>
      <c r="B15" s="221">
        <f>Fixtures[[#This Row],[Opposition]]</f>
        <v>0</v>
      </c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9">
        <f>SUM(Assists[[#This Row],[Alf M]:[Will]])</f>
        <v>0</v>
      </c>
    </row>
    <row r="16" spans="1:29" ht="15.5" x14ac:dyDescent="0.35">
      <c r="A16" s="219">
        <v>46369</v>
      </c>
      <c r="B16" s="221">
        <f>Fixtures[[#This Row],[Opposition]]</f>
        <v>0</v>
      </c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165"/>
      <c r="AC16" s="19">
        <f>SUM(Assists[[#This Row],[Alf M]:[Will]])</f>
        <v>0</v>
      </c>
    </row>
    <row r="17" spans="1:29" ht="15.5" x14ac:dyDescent="0.35">
      <c r="A17" s="219">
        <v>46376</v>
      </c>
      <c r="B17" s="221">
        <f>Fixtures[[#This Row],[Opposition]]</f>
        <v>0</v>
      </c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165"/>
      <c r="AC17" s="19">
        <f>SUM(Assists[[#This Row],[Alf M]:[Will]])</f>
        <v>0</v>
      </c>
    </row>
    <row r="18" spans="1:29" ht="15.5" x14ac:dyDescent="0.35">
      <c r="A18" s="219">
        <v>46383</v>
      </c>
      <c r="B18" s="221">
        <f>Fixtures[[#This Row],[Opposition]]</f>
        <v>0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9">
        <f>SUM(Assists[[#This Row],[Alf M]:[Will]])</f>
        <v>0</v>
      </c>
    </row>
    <row r="19" spans="1:29" ht="15.5" x14ac:dyDescent="0.35">
      <c r="A19" s="219">
        <v>46390</v>
      </c>
      <c r="B19" s="221">
        <f>Fixtures[[#This Row],[Opposition]]</f>
        <v>0</v>
      </c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9">
        <f>SUM(Assists[[#This Row],[Alf M]:[Will]])</f>
        <v>0</v>
      </c>
    </row>
    <row r="20" spans="1:29" ht="15.5" x14ac:dyDescent="0.35">
      <c r="A20" s="219">
        <v>46397</v>
      </c>
      <c r="B20" s="221">
        <f>Fixtures[[#This Row],[Opposition]]</f>
        <v>0</v>
      </c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9">
        <f>SUM(Assists[[#This Row],[Alf M]:[Will]])</f>
        <v>0</v>
      </c>
    </row>
    <row r="21" spans="1:29" ht="15.5" x14ac:dyDescent="0.35">
      <c r="A21" s="219">
        <v>46404</v>
      </c>
      <c r="B21" s="221">
        <f>Fixtures[[#This Row],[Opposition]]</f>
        <v>0</v>
      </c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165"/>
      <c r="AC21" s="19">
        <f>SUM(Assists[[#This Row],[Alf M]:[Will]])</f>
        <v>0</v>
      </c>
    </row>
    <row r="22" spans="1:29" ht="15.5" x14ac:dyDescent="0.35">
      <c r="A22" s="219">
        <v>46411</v>
      </c>
      <c r="B22" s="221">
        <f>Fixtures[[#This Row],[Opposition]]</f>
        <v>0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165"/>
      <c r="AC22" s="19">
        <f>SUM(Assists[[#This Row],[Alf M]:[Will]])</f>
        <v>0</v>
      </c>
    </row>
    <row r="23" spans="1:29" ht="15.5" x14ac:dyDescent="0.35">
      <c r="A23" s="219">
        <v>46418</v>
      </c>
      <c r="B23" s="221">
        <f>Fixtures[[#This Row],[Opposition]]</f>
        <v>0</v>
      </c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9">
        <f>SUM(Assists[[#This Row],[Alf M]:[Will]])</f>
        <v>0</v>
      </c>
    </row>
    <row r="24" spans="1:29" ht="15.5" x14ac:dyDescent="0.35">
      <c r="A24" s="219">
        <v>46425</v>
      </c>
      <c r="B24" s="221">
        <f>Fixtures[[#This Row],[Opposition]]</f>
        <v>0</v>
      </c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165"/>
      <c r="AC24" s="19">
        <f>SUM(Assists[[#This Row],[Alf M]:[Will]])</f>
        <v>0</v>
      </c>
    </row>
    <row r="25" spans="1:29" ht="15.5" x14ac:dyDescent="0.35">
      <c r="A25" s="219">
        <v>46432</v>
      </c>
      <c r="B25" s="221">
        <f>Fixtures[[#This Row],[Opposition]]</f>
        <v>0</v>
      </c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165"/>
      <c r="AC25" s="19">
        <f>SUM(Assists[[#This Row],[Alf M]:[Will]])</f>
        <v>0</v>
      </c>
    </row>
    <row r="26" spans="1:29" ht="15.5" x14ac:dyDescent="0.35">
      <c r="A26" s="219">
        <v>46439</v>
      </c>
      <c r="B26" s="221">
        <f>Fixtures[[#This Row],[Opposition]]</f>
        <v>0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9">
        <f>SUM(Assists[[#This Row],[Alf M]:[Will]])</f>
        <v>0</v>
      </c>
    </row>
    <row r="27" spans="1:29" ht="15.5" x14ac:dyDescent="0.35">
      <c r="A27" s="219">
        <v>46446</v>
      </c>
      <c r="B27" s="221">
        <f>Fixtures[[#This Row],[Opposition]]</f>
        <v>0</v>
      </c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165"/>
      <c r="AC27" s="19">
        <f>SUM(Assists[[#This Row],[Alf M]:[Will]])</f>
        <v>0</v>
      </c>
    </row>
    <row r="28" spans="1:29" ht="15.5" x14ac:dyDescent="0.35">
      <c r="A28" s="219">
        <v>46453</v>
      </c>
      <c r="B28" s="221">
        <f>Fixtures[[#This Row],[Opposition]]</f>
        <v>0</v>
      </c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9">
        <f>SUM(Assists[[#This Row],[Alf M]:[Will]])</f>
        <v>0</v>
      </c>
    </row>
    <row r="29" spans="1:29" ht="15.5" x14ac:dyDescent="0.35">
      <c r="A29" s="219">
        <v>46460</v>
      </c>
      <c r="B29" s="221">
        <f>Fixtures[[#This Row],[Opposition]]</f>
        <v>0</v>
      </c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165"/>
      <c r="AC29" s="19">
        <f>SUM(Assists[[#This Row],[Alf M]:[Will]])</f>
        <v>0</v>
      </c>
    </row>
    <row r="30" spans="1:29" ht="15.5" x14ac:dyDescent="0.35">
      <c r="A30" s="219">
        <v>46467</v>
      </c>
      <c r="B30" s="221">
        <f>Fixtures[[#This Row],[Opposition]]</f>
        <v>0</v>
      </c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165"/>
      <c r="AC30" s="19">
        <f>SUM(Assists[[#This Row],[Alf M]:[Will]])</f>
        <v>0</v>
      </c>
    </row>
    <row r="31" spans="1:29" ht="15.5" x14ac:dyDescent="0.35">
      <c r="A31" s="219">
        <v>46474</v>
      </c>
      <c r="B31" s="221">
        <f>Fixtures[[#This Row],[Opposition]]</f>
        <v>0</v>
      </c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165"/>
      <c r="AC31" s="19">
        <f>SUM(Assists[[#This Row],[Alf M]:[Will]])</f>
        <v>0</v>
      </c>
    </row>
    <row r="32" spans="1:29" ht="15.5" x14ac:dyDescent="0.35">
      <c r="A32" s="219">
        <v>46481</v>
      </c>
      <c r="B32" s="221">
        <f>Fixtures[[#This Row],[Opposition]]</f>
        <v>0</v>
      </c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165"/>
      <c r="AC32" s="19">
        <f>SUM(Assists[[#This Row],[Alf M]:[Will]])</f>
        <v>0</v>
      </c>
    </row>
    <row r="33" spans="1:29" ht="15.5" x14ac:dyDescent="0.35">
      <c r="A33" s="219">
        <v>46488</v>
      </c>
      <c r="B33" s="221">
        <f>Fixtures[[#This Row],[Opposition]]</f>
        <v>0</v>
      </c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165"/>
      <c r="AC33" s="19">
        <f>SUM(Assists[[#This Row],[Alf M]:[Will]])</f>
        <v>0</v>
      </c>
    </row>
    <row r="34" spans="1:29" ht="15.5" x14ac:dyDescent="0.35">
      <c r="A34" s="219">
        <v>46495</v>
      </c>
      <c r="B34" s="221">
        <f>Fixtures[[#This Row],[Opposition]]</f>
        <v>0</v>
      </c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165"/>
      <c r="AC34" s="19">
        <f>SUM(Assists[[#This Row],[Alf M]:[Will]])</f>
        <v>0</v>
      </c>
    </row>
    <row r="35" spans="1:29" ht="15.5" x14ac:dyDescent="0.35">
      <c r="A35" s="219">
        <v>46502</v>
      </c>
      <c r="B35" s="221">
        <f>Fixtures[[#This Row],[Opposition]]</f>
        <v>0</v>
      </c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165"/>
      <c r="AC35" s="19">
        <f>SUM(Assists[[#This Row],[Alf M]:[Will]])</f>
        <v>0</v>
      </c>
    </row>
    <row r="36" spans="1:29" ht="15.5" x14ac:dyDescent="0.35">
      <c r="A36" s="219">
        <v>46509</v>
      </c>
      <c r="B36" s="221">
        <f>Fixtures[[#This Row],[Opposition]]</f>
        <v>0</v>
      </c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165"/>
      <c r="AC36" s="19">
        <f>SUM(Assists[[#This Row],[Alf M]:[Will]])</f>
        <v>0</v>
      </c>
    </row>
    <row r="37" spans="1:29" s="169" customFormat="1" ht="20" x14ac:dyDescent="0.4">
      <c r="A37" s="219">
        <v>46516</v>
      </c>
      <c r="B37" s="221">
        <f>Fixtures[[#This Row],[Opposition]]</f>
        <v>0</v>
      </c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8"/>
      <c r="AC37" s="19">
        <f>SUM(Assists[[#This Row],[Alf M]:[Will]])</f>
        <v>0</v>
      </c>
    </row>
    <row r="38" spans="1:29" ht="15.5" x14ac:dyDescent="0.35">
      <c r="A38" s="219">
        <v>46523</v>
      </c>
      <c r="B38" s="221">
        <f>Fixtures[[#This Row],[Opposition]]</f>
        <v>0</v>
      </c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165"/>
      <c r="AC38" s="19">
        <f>SUM(Assists[[#This Row],[Alf M]:[Will]])</f>
        <v>0</v>
      </c>
    </row>
    <row r="39" spans="1:29" ht="15.5" x14ac:dyDescent="0.35">
      <c r="A39" s="219">
        <v>46530</v>
      </c>
      <c r="B39" s="221">
        <f>Fixtures[[#This Row],[Opposition]]</f>
        <v>0</v>
      </c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165"/>
      <c r="AC39" s="19">
        <f>SUM(Assists[[#This Row],[Alf M]:[Will]])</f>
        <v>0</v>
      </c>
    </row>
    <row r="40" spans="1:29" ht="15.5" x14ac:dyDescent="0.35">
      <c r="A40" s="219">
        <v>46537</v>
      </c>
      <c r="B40" s="221">
        <f>Fixtures[[#This Row],[Opposition]]</f>
        <v>0</v>
      </c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165"/>
      <c r="AC40" s="19">
        <f>SUM(Assists[[#This Row],[Alf M]:[Will]])</f>
        <v>0</v>
      </c>
    </row>
    <row r="41" spans="1:29" ht="15.5" x14ac:dyDescent="0.35">
      <c r="A41" s="219">
        <v>46544</v>
      </c>
      <c r="B41" s="221">
        <f>Fixtures[[#This Row],[Opposition]]</f>
        <v>0</v>
      </c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165"/>
      <c r="AC41" s="19">
        <f>SUM(Assists[[#This Row],[Alf M]:[Will]])</f>
        <v>0</v>
      </c>
    </row>
    <row r="42" spans="1:29" ht="15.5" x14ac:dyDescent="0.35">
      <c r="A42" s="219">
        <v>46551</v>
      </c>
      <c r="B42" s="221">
        <f>Fixtures[[#This Row],[Opposition]]</f>
        <v>0</v>
      </c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165"/>
      <c r="AC42" s="19">
        <f>SUM(Assists[[#This Row],[Alf M]:[Will]])</f>
        <v>0</v>
      </c>
    </row>
    <row r="43" spans="1:29" ht="15.5" x14ac:dyDescent="0.35">
      <c r="A43" s="219">
        <v>46558</v>
      </c>
      <c r="B43" s="221">
        <f>Fixtures[[#This Row],[Opposition]]</f>
        <v>0</v>
      </c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165"/>
      <c r="AC43" s="19">
        <f>SUM(Assists[[#This Row],[Alf M]:[Will]])</f>
        <v>0</v>
      </c>
    </row>
    <row r="44" spans="1:29" ht="15.5" x14ac:dyDescent="0.35">
      <c r="A44" s="219">
        <v>46565</v>
      </c>
      <c r="B44" s="221">
        <f>Fixtures[[#This Row],[Opposition]]</f>
        <v>0</v>
      </c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165"/>
      <c r="AC44" s="19">
        <f>SUM(Assists[[#This Row],[Alf M]:[Will]])</f>
        <v>0</v>
      </c>
    </row>
    <row r="45" spans="1:29" ht="15.5" x14ac:dyDescent="0.35">
      <c r="A45" s="219">
        <v>46572</v>
      </c>
      <c r="B45" s="221">
        <f>Fixtures[[#This Row],[Opposition]]</f>
        <v>0</v>
      </c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165"/>
      <c r="AC45" s="19">
        <f>SUM(Assists[[#This Row],[Alf M]:[Will]])</f>
        <v>0</v>
      </c>
    </row>
    <row r="46" spans="1:29" ht="15.5" x14ac:dyDescent="0.35">
      <c r="A46" s="219">
        <v>46579</v>
      </c>
      <c r="B46" s="221">
        <f>Fixtures[[#This Row],[Opposition]]</f>
        <v>0</v>
      </c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165"/>
      <c r="AC46" s="19">
        <f>SUM(Assists[[#This Row],[Alf M]:[Will]])</f>
        <v>0</v>
      </c>
    </row>
    <row r="47" spans="1:29" ht="15.5" x14ac:dyDescent="0.35">
      <c r="A47" s="219">
        <v>46586</v>
      </c>
      <c r="B47" s="221">
        <f>Fixtures[[#This Row],[Opposition]]</f>
        <v>0</v>
      </c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165"/>
      <c r="AC47" s="19">
        <f>SUM(Assists[[#This Row],[Alf M]:[Will]])</f>
        <v>0</v>
      </c>
    </row>
    <row r="48" spans="1:29" ht="15.5" x14ac:dyDescent="0.35">
      <c r="A48" s="219">
        <v>46593</v>
      </c>
      <c r="B48" s="221">
        <f>Fixtures[[#This Row],[Opposition]]</f>
        <v>0</v>
      </c>
      <c r="C48" s="165"/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  <c r="AB48" s="165"/>
      <c r="AC48" s="19">
        <f>SUM(Assists[[#This Row],[Alf M]:[Will]])</f>
        <v>0</v>
      </c>
    </row>
    <row r="49" spans="1:29" ht="15.5" x14ac:dyDescent="0.35">
      <c r="A49" s="219">
        <v>46600</v>
      </c>
      <c r="B49" s="221">
        <f>Fixtures[[#This Row],[Opposition]]</f>
        <v>0</v>
      </c>
      <c r="C49" s="165"/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165"/>
      <c r="AC49" s="19">
        <f>SUM(Assists[[#This Row],[Alf M]:[Will]])</f>
        <v>0</v>
      </c>
    </row>
    <row r="50" spans="1:29" ht="15.5" x14ac:dyDescent="0.35">
      <c r="A50" s="219">
        <v>46607</v>
      </c>
      <c r="B50" s="221">
        <f>Fixtures[[#This Row],[Opposition]]</f>
        <v>0</v>
      </c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165"/>
      <c r="AC50" s="19">
        <f>SUM(Assists[[#This Row],[Alf M]:[Will]])</f>
        <v>0</v>
      </c>
    </row>
    <row r="51" spans="1:29" ht="15.5" x14ac:dyDescent="0.35">
      <c r="A51" s="219">
        <v>46614</v>
      </c>
      <c r="B51" s="221">
        <f>Fixtures[[#This Row],[Opposition]]</f>
        <v>0</v>
      </c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9">
        <f>SUM(Assists[[#This Row],[Alf M]:[Will]])</f>
        <v>0</v>
      </c>
    </row>
    <row r="52" spans="1:29" ht="15.5" x14ac:dyDescent="0.35">
      <c r="A52" s="219">
        <v>46621</v>
      </c>
      <c r="B52" s="221">
        <f>Fixtures[[#This Row],[Opposition]]</f>
        <v>0</v>
      </c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9">
        <f>SUM(Assists[[#This Row],[Alf M]:[Will]])</f>
        <v>0</v>
      </c>
    </row>
    <row r="53" spans="1:29" ht="15.5" x14ac:dyDescent="0.35">
      <c r="A53" s="219">
        <v>46628</v>
      </c>
      <c r="B53" s="221">
        <f>Fixtures[[#This Row],[Opposition]]</f>
        <v>0</v>
      </c>
      <c r="C53" s="165"/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165"/>
      <c r="R53" s="165"/>
      <c r="S53" s="165"/>
      <c r="T53" s="165"/>
      <c r="U53" s="165"/>
      <c r="V53" s="165"/>
      <c r="W53" s="165"/>
      <c r="X53" s="165"/>
      <c r="Y53" s="165"/>
      <c r="Z53" s="165"/>
      <c r="AA53" s="165"/>
      <c r="AB53" s="165"/>
      <c r="AC53" s="19">
        <f>SUM(Assists[[#This Row],[Alf M]:[Will]])</f>
        <v>0</v>
      </c>
    </row>
    <row r="54" spans="1:29" ht="20" x14ac:dyDescent="0.4">
      <c r="A54" s="170"/>
      <c r="B54" s="223" t="s">
        <v>82</v>
      </c>
      <c r="C54" s="171">
        <f>SUBTOTAL(109,Assists[Alf M])</f>
        <v>0</v>
      </c>
      <c r="D54" s="171">
        <f>SUBTOTAL(109,Assists[Alfie F])</f>
        <v>0</v>
      </c>
      <c r="E54" s="171">
        <f>SUBTOTAL(109,Assists[Bailey])</f>
        <v>0</v>
      </c>
      <c r="F54" s="171">
        <f>SUBTOTAL(109,Assists[Brad])</f>
        <v>0</v>
      </c>
      <c r="G54" s="171">
        <f>SUBTOTAL(109,Assists[Callum])</f>
        <v>0</v>
      </c>
      <c r="H54" s="171">
        <f>SUBTOTAL(109,Assists[Danny])</f>
        <v>0</v>
      </c>
      <c r="I54" s="171">
        <f>SUBTOTAL(109,Assists[Ethan])</f>
        <v>0</v>
      </c>
      <c r="J54" s="171">
        <f>SUBTOTAL(109,Assists[Freddie])</f>
        <v>0</v>
      </c>
      <c r="K54" s="171">
        <f>SUBTOTAL(109,Assists[George])</f>
        <v>0</v>
      </c>
      <c r="L54" s="171">
        <f>SUBTOTAL(109,Assists[Jamie])</f>
        <v>0</v>
      </c>
      <c r="M54" s="171">
        <f>SUBTOTAL(109,Assists[Jay])</f>
        <v>0</v>
      </c>
      <c r="N54" s="171">
        <f>SUBTOTAL(109,Assists[Joe])</f>
        <v>0</v>
      </c>
      <c r="O54" s="171">
        <f>SUBTOTAL(109,Assists[Josh])</f>
        <v>0</v>
      </c>
      <c r="P54" s="171">
        <f>SUBTOTAL(109,Assists[Jude])</f>
        <v>0</v>
      </c>
      <c r="Q54" s="171">
        <f>SUBTOTAL(109,Assists[Kalan])</f>
        <v>0</v>
      </c>
      <c r="R54" s="171">
        <f>SUBTOTAL(109,Assists[Kazeem])</f>
        <v>0</v>
      </c>
      <c r="S54" s="171">
        <f>SUBTOTAL(109,Assists[Keiran D])</f>
        <v>0</v>
      </c>
      <c r="T54" s="171">
        <f>SUBTOTAL(109,Assists[Keiran R])</f>
        <v>0</v>
      </c>
      <c r="U54" s="171">
        <f>SUBTOTAL(109,Assists[Liam])</f>
        <v>0</v>
      </c>
      <c r="V54"/>
      <c r="W54"/>
      <c r="X54"/>
      <c r="Y54" s="171">
        <f>SUBTOTAL(109,Assists[Ronnie T])</f>
        <v>0</v>
      </c>
      <c r="Z54"/>
      <c r="AA54" s="171">
        <f>SUBTOTAL(109,Assists[Ryeley])</f>
        <v>0</v>
      </c>
      <c r="AB54" s="171">
        <f>SUBTOTAL(109,Assists[Will])</f>
        <v>0</v>
      </c>
      <c r="AC54" s="169">
        <f>SUBTOTAL(109,Assists[Count])</f>
        <v>0</v>
      </c>
    </row>
    <row r="55" spans="1:29" x14ac:dyDescent="0.35">
      <c r="B55" s="224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B55" s="166"/>
    </row>
    <row r="56" spans="1:29" s="173" customFormat="1" ht="17.5" x14ac:dyDescent="0.35">
      <c r="B56" s="222"/>
    </row>
    <row r="57" spans="1:29" x14ac:dyDescent="0.35">
      <c r="B57" s="224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</row>
    <row r="58" spans="1:29" x14ac:dyDescent="0.35">
      <c r="B58" s="224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</row>
    <row r="59" spans="1:29" x14ac:dyDescent="0.35">
      <c r="B59" s="224"/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</row>
    <row r="60" spans="1:29" x14ac:dyDescent="0.35">
      <c r="B60" s="224"/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</row>
    <row r="61" spans="1:29" x14ac:dyDescent="0.35">
      <c r="B61" s="224"/>
      <c r="C61" s="166"/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</row>
    <row r="62" spans="1:29" x14ac:dyDescent="0.35">
      <c r="B62" s="224"/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</row>
    <row r="63" spans="1:29" x14ac:dyDescent="0.35">
      <c r="B63" s="224"/>
      <c r="C63" s="166"/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</row>
    <row r="64" spans="1:29" x14ac:dyDescent="0.35">
      <c r="B64" s="224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</row>
    <row r="65" spans="2:28" x14ac:dyDescent="0.35">
      <c r="B65" s="224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</row>
    <row r="66" spans="2:28" x14ac:dyDescent="0.35">
      <c r="B66" s="224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</row>
    <row r="67" spans="2:28" x14ac:dyDescent="0.35">
      <c r="B67" s="224"/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</row>
    <row r="68" spans="2:28" x14ac:dyDescent="0.35">
      <c r="B68" s="224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</row>
    <row r="69" spans="2:28" x14ac:dyDescent="0.35">
      <c r="B69" s="224"/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</row>
    <row r="70" spans="2:28" x14ac:dyDescent="0.35">
      <c r="B70" s="224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</row>
    <row r="71" spans="2:28" x14ac:dyDescent="0.35">
      <c r="B71" s="224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</row>
    <row r="72" spans="2:28" x14ac:dyDescent="0.35">
      <c r="B72" s="224"/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</row>
    <row r="73" spans="2:28" x14ac:dyDescent="0.35">
      <c r="B73" s="224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</row>
    <row r="74" spans="2:28" x14ac:dyDescent="0.35">
      <c r="B74" s="224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</row>
    <row r="75" spans="2:28" x14ac:dyDescent="0.35">
      <c r="B75" s="224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</row>
    <row r="76" spans="2:28" x14ac:dyDescent="0.35">
      <c r="B76" s="224"/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</row>
    <row r="77" spans="2:28" x14ac:dyDescent="0.35">
      <c r="B77" s="224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</row>
    <row r="78" spans="2:28" x14ac:dyDescent="0.35">
      <c r="B78" s="224"/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</row>
    <row r="79" spans="2:28" x14ac:dyDescent="0.35">
      <c r="B79" s="224"/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</row>
    <row r="80" spans="2:28" x14ac:dyDescent="0.35">
      <c r="B80" s="224"/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</row>
    <row r="81" spans="2:28" x14ac:dyDescent="0.35">
      <c r="B81" s="224"/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</row>
    <row r="82" spans="2:28" x14ac:dyDescent="0.35">
      <c r="B82" s="224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</row>
    <row r="83" spans="2:28" x14ac:dyDescent="0.35">
      <c r="B83" s="224"/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</row>
    <row r="84" spans="2:28" x14ac:dyDescent="0.35">
      <c r="B84" s="224"/>
      <c r="C84" s="166"/>
      <c r="D84" s="166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  <c r="AB84" s="166"/>
    </row>
    <row r="85" spans="2:28" x14ac:dyDescent="0.35">
      <c r="B85" s="224"/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</row>
    <row r="86" spans="2:28" x14ac:dyDescent="0.35">
      <c r="B86" s="224"/>
      <c r="C86" s="166"/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</row>
    <row r="87" spans="2:28" x14ac:dyDescent="0.35">
      <c r="B87" s="224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</row>
    <row r="88" spans="2:28" x14ac:dyDescent="0.35">
      <c r="B88" s="224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</row>
    <row r="89" spans="2:28" x14ac:dyDescent="0.35">
      <c r="B89" s="224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</row>
    <row r="90" spans="2:28" x14ac:dyDescent="0.35">
      <c r="B90" s="224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</row>
    <row r="91" spans="2:28" x14ac:dyDescent="0.35">
      <c r="B91" s="224"/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</row>
    <row r="92" spans="2:28" x14ac:dyDescent="0.35">
      <c r="B92" s="224"/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  <c r="AB92" s="166"/>
    </row>
    <row r="93" spans="2:28" x14ac:dyDescent="0.35">
      <c r="B93" s="224"/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  <c r="AB93" s="166"/>
    </row>
    <row r="94" spans="2:28" x14ac:dyDescent="0.35">
      <c r="B94" s="224"/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  <c r="AB94" s="166"/>
    </row>
    <row r="95" spans="2:28" x14ac:dyDescent="0.35">
      <c r="B95" s="224"/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  <c r="AB95" s="166"/>
    </row>
    <row r="96" spans="2:28" x14ac:dyDescent="0.35">
      <c r="B96" s="224"/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  <c r="AB96" s="166"/>
    </row>
    <row r="97" spans="2:28" x14ac:dyDescent="0.35">
      <c r="B97" s="224"/>
      <c r="C97" s="166"/>
      <c r="D97" s="166"/>
      <c r="E97" s="16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  <c r="AB97" s="166"/>
    </row>
    <row r="98" spans="2:28" x14ac:dyDescent="0.35">
      <c r="B98" s="224"/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  <c r="AB98" s="166"/>
    </row>
    <row r="99" spans="2:28" x14ac:dyDescent="0.35">
      <c r="B99" s="224"/>
      <c r="C99" s="166"/>
      <c r="D99" s="166"/>
      <c r="E99" s="166"/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  <c r="AB99" s="166"/>
    </row>
    <row r="100" spans="2:28" x14ac:dyDescent="0.35">
      <c r="B100" s="224"/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  <c r="AB100" s="166"/>
    </row>
    <row r="101" spans="2:28" x14ac:dyDescent="0.35">
      <c r="B101" s="224"/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  <c r="AB101" s="166"/>
    </row>
    <row r="102" spans="2:28" x14ac:dyDescent="0.35">
      <c r="B102" s="224"/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  <c r="AB102" s="166"/>
    </row>
    <row r="103" spans="2:28" x14ac:dyDescent="0.35">
      <c r="B103" s="224"/>
      <c r="C103" s="166"/>
      <c r="D103" s="166"/>
      <c r="E103" s="166"/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  <c r="AB103" s="166"/>
    </row>
    <row r="104" spans="2:28" x14ac:dyDescent="0.35">
      <c r="B104" s="224"/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  <c r="AB104" s="166"/>
    </row>
    <row r="105" spans="2:28" x14ac:dyDescent="0.35">
      <c r="B105" s="224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  <c r="AB105" s="166"/>
    </row>
    <row r="106" spans="2:28" x14ac:dyDescent="0.35">
      <c r="B106" s="224"/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</row>
    <row r="107" spans="2:28" x14ac:dyDescent="0.35">
      <c r="B107" s="224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  <c r="AB107" s="166"/>
    </row>
    <row r="108" spans="2:28" x14ac:dyDescent="0.35">
      <c r="B108" s="224"/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</row>
    <row r="109" spans="2:28" x14ac:dyDescent="0.35">
      <c r="B109" s="224"/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  <c r="AA109" s="166"/>
      <c r="AB109" s="166"/>
    </row>
    <row r="110" spans="2:28" x14ac:dyDescent="0.35">
      <c r="B110" s="224"/>
      <c r="C110" s="166"/>
      <c r="D110" s="166"/>
      <c r="E110" s="166"/>
      <c r="F110" s="166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  <c r="AB110" s="166"/>
    </row>
    <row r="111" spans="2:28" x14ac:dyDescent="0.35">
      <c r="B111" s="224"/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  <c r="AA111" s="166"/>
      <c r="AB111" s="166"/>
    </row>
    <row r="112" spans="2:28" x14ac:dyDescent="0.35">
      <c r="B112" s="224"/>
      <c r="C112" s="166"/>
      <c r="D112" s="166"/>
      <c r="E112" s="166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  <c r="AB112" s="166"/>
    </row>
    <row r="113" spans="2:28" x14ac:dyDescent="0.35">
      <c r="B113" s="224"/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  <c r="AB113" s="166"/>
    </row>
    <row r="114" spans="2:28" x14ac:dyDescent="0.35">
      <c r="B114" s="224"/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  <c r="AB114" s="166"/>
    </row>
    <row r="115" spans="2:28" x14ac:dyDescent="0.35">
      <c r="B115" s="224"/>
      <c r="C115" s="166"/>
      <c r="D115" s="166"/>
      <c r="E115" s="166"/>
      <c r="F115" s="166"/>
      <c r="G115" s="166"/>
      <c r="H115" s="166"/>
      <c r="I115" s="166"/>
      <c r="J115" s="166"/>
      <c r="K115" s="166"/>
      <c r="L115" s="166"/>
      <c r="M115" s="166"/>
      <c r="N115" s="166"/>
      <c r="O115" s="166"/>
      <c r="P115" s="166"/>
      <c r="Q115" s="166"/>
      <c r="R115" s="166"/>
      <c r="S115" s="166"/>
      <c r="T115" s="166"/>
      <c r="U115" s="166"/>
      <c r="V115" s="166"/>
      <c r="W115" s="166"/>
      <c r="X115" s="166"/>
      <c r="Y115" s="166"/>
      <c r="Z115" s="166"/>
      <c r="AA115" s="166"/>
      <c r="AB115" s="166"/>
    </row>
  </sheetData>
  <phoneticPr fontId="1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86ED-AA92-4330-B518-7459E02C391E}">
  <sheetPr>
    <tabColor rgb="FFFFC000"/>
  </sheetPr>
  <dimension ref="A1:AB114"/>
  <sheetViews>
    <sheetView zoomScale="85" zoomScaleNormal="85" workbookViewId="0">
      <pane xSplit="2" ySplit="1" topLeftCell="C2" activePane="bottomRight" state="frozen"/>
      <selection activeCell="N25" sqref="N25"/>
      <selection pane="topRight" activeCell="N25" sqref="N25"/>
      <selection pane="bottomLeft" activeCell="N25" sqref="N25"/>
      <selection pane="bottomRight" activeCell="A2" sqref="A2"/>
    </sheetView>
  </sheetViews>
  <sheetFormatPr defaultColWidth="10.7265625" defaultRowHeight="14.5" x14ac:dyDescent="0.35"/>
  <cols>
    <col min="2" max="2" width="17.6328125" style="221" bestFit="1" customWidth="1"/>
    <col min="3" max="3" width="10.26953125" style="164" bestFit="1" customWidth="1"/>
    <col min="4" max="4" width="11.7265625" style="172" bestFit="1" customWidth="1"/>
    <col min="5" max="5" width="11.36328125" style="172" bestFit="1" customWidth="1"/>
    <col min="6" max="6" width="9.6328125" style="172" bestFit="1" customWidth="1"/>
    <col min="7" max="7" width="12.36328125" style="172" bestFit="1" customWidth="1"/>
    <col min="8" max="8" width="11.6328125" style="172" bestFit="1" customWidth="1"/>
    <col min="9" max="9" width="12.81640625" style="172" bestFit="1" customWidth="1"/>
    <col min="10" max="10" width="11" style="172" bestFit="1" customWidth="1"/>
    <col min="11" max="11" width="8" style="172" bestFit="1" customWidth="1"/>
    <col min="12" max="12" width="8.1796875" style="172" bestFit="1" customWidth="1"/>
    <col min="13" max="14" width="9.81640625" style="172" bestFit="1" customWidth="1"/>
    <col min="15" max="15" width="10.81640625" style="172" bestFit="1" customWidth="1"/>
    <col min="16" max="17" width="14.26953125" style="172" bestFit="1" customWidth="1"/>
    <col min="18" max="18" width="9.81640625" style="172" bestFit="1" customWidth="1"/>
    <col min="19" max="19" width="10.81640625" style="172" bestFit="1" customWidth="1"/>
    <col min="20" max="23" width="10.81640625" style="172" customWidth="1"/>
    <col min="24" max="24" width="15.1796875" style="172" bestFit="1" customWidth="1"/>
    <col min="25" max="25" width="15" style="172" bestFit="1" customWidth="1"/>
    <col min="26" max="26" width="10" style="172" bestFit="1" customWidth="1"/>
    <col min="27" max="27" width="12" style="172" bestFit="1" customWidth="1"/>
    <col min="28" max="28" width="8.54296875" style="172" bestFit="1" customWidth="1"/>
    <col min="29" max="29" width="8.453125" style="166" customWidth="1"/>
    <col min="30" max="46" width="5.54296875" style="166" bestFit="1" customWidth="1"/>
    <col min="47" max="16384" width="10.7265625" style="166"/>
  </cols>
  <sheetData>
    <row r="1" spans="1:28" s="258" customFormat="1" ht="35" customHeight="1" x14ac:dyDescent="0.35">
      <c r="A1" s="256" t="s">
        <v>11</v>
      </c>
      <c r="B1" s="257" t="s">
        <v>16</v>
      </c>
      <c r="C1" s="255" t="s">
        <v>64</v>
      </c>
      <c r="D1" s="255" t="s">
        <v>65</v>
      </c>
      <c r="E1" s="255" t="s">
        <v>66</v>
      </c>
      <c r="F1" s="255" t="s">
        <v>67</v>
      </c>
      <c r="G1" s="255" t="s">
        <v>68</v>
      </c>
      <c r="H1" s="255" t="s">
        <v>69</v>
      </c>
      <c r="I1" s="255" t="s">
        <v>175</v>
      </c>
      <c r="J1" s="255" t="s">
        <v>171</v>
      </c>
      <c r="K1" s="255" t="s">
        <v>70</v>
      </c>
      <c r="L1" s="255" t="s">
        <v>71</v>
      </c>
      <c r="M1" s="255" t="s">
        <v>72</v>
      </c>
      <c r="N1" s="255" t="s">
        <v>73</v>
      </c>
      <c r="O1" s="255" t="s">
        <v>74</v>
      </c>
      <c r="P1" s="255" t="s">
        <v>75</v>
      </c>
      <c r="Q1" s="255" t="s">
        <v>76</v>
      </c>
      <c r="R1" s="255" t="s">
        <v>178</v>
      </c>
      <c r="S1" s="255" t="s">
        <v>162</v>
      </c>
      <c r="T1" s="255" t="s">
        <v>163</v>
      </c>
      <c r="U1" s="255" t="s">
        <v>124</v>
      </c>
      <c r="V1" s="255" t="s">
        <v>77</v>
      </c>
      <c r="W1" s="255" t="s">
        <v>172</v>
      </c>
      <c r="X1" s="255" t="s">
        <v>78</v>
      </c>
      <c r="Y1" s="255" t="s">
        <v>79</v>
      </c>
      <c r="Z1" s="255" t="s">
        <v>161</v>
      </c>
      <c r="AA1" s="255" t="s">
        <v>80</v>
      </c>
      <c r="AB1" s="255" t="s">
        <v>81</v>
      </c>
    </row>
    <row r="2" spans="1:28" ht="15.5" x14ac:dyDescent="0.35">
      <c r="A2" s="225">
        <v>46271</v>
      </c>
      <c r="B2" s="226" t="str">
        <f>Fixtures[[#This Row],[Opposition]]</f>
        <v>DAN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5"/>
      <c r="X2" s="165"/>
      <c r="Y2" s="165"/>
      <c r="Z2" s="165"/>
      <c r="AA2" s="165"/>
      <c r="AB2" s="227"/>
    </row>
    <row r="3" spans="1:28" ht="15.5" x14ac:dyDescent="0.35">
      <c r="A3" s="225">
        <v>46278</v>
      </c>
      <c r="B3" s="226">
        <f>Fixtures[[#This Row],[Opposition]]</f>
        <v>0</v>
      </c>
      <c r="C3" s="165"/>
      <c r="D3" s="165"/>
      <c r="E3" s="165"/>
      <c r="F3" s="165"/>
      <c r="G3" s="165"/>
      <c r="H3" s="165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227"/>
    </row>
    <row r="4" spans="1:28" ht="15.5" x14ac:dyDescent="0.35">
      <c r="A4" s="225">
        <v>46285</v>
      </c>
      <c r="B4" s="226">
        <f>Fixtures[[#This Row],[Opposition]]</f>
        <v>0</v>
      </c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227"/>
    </row>
    <row r="5" spans="1:28" ht="15.5" x14ac:dyDescent="0.35">
      <c r="A5" s="225">
        <v>46292</v>
      </c>
      <c r="B5" s="226">
        <f>Fixtures[[#This Row],[Opposition]]</f>
        <v>0</v>
      </c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227"/>
    </row>
    <row r="6" spans="1:28" ht="15.5" x14ac:dyDescent="0.35">
      <c r="A6" s="225">
        <v>46299</v>
      </c>
      <c r="B6" s="226">
        <f>Fixtures[[#This Row],[Opposition]]</f>
        <v>0</v>
      </c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227"/>
    </row>
    <row r="7" spans="1:28" ht="15.5" x14ac:dyDescent="0.35">
      <c r="A7" s="225">
        <v>46306</v>
      </c>
      <c r="B7" s="226">
        <f>Fixtures[[#This Row],[Opposition]]</f>
        <v>0</v>
      </c>
      <c r="C7" s="165"/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165"/>
      <c r="R7" s="165"/>
      <c r="S7" s="165"/>
      <c r="T7" s="165"/>
      <c r="U7" s="165"/>
      <c r="V7" s="165"/>
      <c r="W7" s="165"/>
      <c r="X7" s="165"/>
      <c r="Y7" s="165"/>
      <c r="Z7" s="165"/>
      <c r="AA7" s="165"/>
      <c r="AB7" s="227"/>
    </row>
    <row r="8" spans="1:28" ht="15.5" x14ac:dyDescent="0.35">
      <c r="A8" s="225">
        <v>46313</v>
      </c>
      <c r="B8" s="226">
        <f>Fixtures[[#This Row],[Opposition]]</f>
        <v>0</v>
      </c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  <c r="R8" s="165"/>
      <c r="S8" s="165"/>
      <c r="T8" s="165"/>
      <c r="U8" s="165"/>
      <c r="V8" s="165"/>
      <c r="W8" s="165"/>
      <c r="X8" s="165"/>
      <c r="Y8" s="165"/>
      <c r="Z8" s="165"/>
      <c r="AA8" s="165"/>
      <c r="AB8" s="227"/>
    </row>
    <row r="9" spans="1:28" ht="15.5" x14ac:dyDescent="0.35">
      <c r="A9" s="225">
        <v>46320</v>
      </c>
      <c r="B9" s="226">
        <f>Fixtures[[#This Row],[Opposition]]</f>
        <v>0</v>
      </c>
      <c r="C9" s="165"/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165"/>
      <c r="R9" s="165"/>
      <c r="S9" s="165"/>
      <c r="T9" s="165"/>
      <c r="U9" s="165"/>
      <c r="V9" s="165"/>
      <c r="W9" s="165"/>
      <c r="X9" s="165"/>
      <c r="Y9" s="165"/>
      <c r="Z9" s="165"/>
      <c r="AA9" s="165"/>
      <c r="AB9" s="227"/>
    </row>
    <row r="10" spans="1:28" ht="15.5" x14ac:dyDescent="0.35">
      <c r="A10" s="225">
        <v>46327</v>
      </c>
      <c r="B10" s="226">
        <f>Fixtures[[#This Row],[Opposition]]</f>
        <v>0</v>
      </c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67"/>
      <c r="V10" s="167"/>
      <c r="W10" s="167"/>
      <c r="X10" s="167"/>
      <c r="Y10" s="167"/>
      <c r="Z10" s="167"/>
      <c r="AA10" s="167"/>
      <c r="AB10" s="228"/>
    </row>
    <row r="11" spans="1:28" ht="15.5" x14ac:dyDescent="0.35">
      <c r="A11" s="225">
        <v>46334</v>
      </c>
      <c r="B11" s="226">
        <f>Fixtures[[#This Row],[Opposition]]</f>
        <v>0</v>
      </c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227"/>
    </row>
    <row r="12" spans="1:28" ht="15.5" x14ac:dyDescent="0.35">
      <c r="A12" s="225">
        <v>46341</v>
      </c>
      <c r="B12" s="226">
        <f>Fixtures[[#This Row],[Opposition]]</f>
        <v>0</v>
      </c>
      <c r="C12" s="165"/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5"/>
      <c r="V12" s="165"/>
      <c r="W12" s="165"/>
      <c r="X12" s="165"/>
      <c r="Y12" s="165"/>
      <c r="Z12" s="165"/>
      <c r="AA12" s="165"/>
      <c r="AB12" s="227"/>
    </row>
    <row r="13" spans="1:28" ht="15.5" x14ac:dyDescent="0.35">
      <c r="A13" s="225">
        <v>46348</v>
      </c>
      <c r="B13" s="226">
        <f>Fixtures[[#This Row],[Opposition]]</f>
        <v>0</v>
      </c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227"/>
    </row>
    <row r="14" spans="1:28" ht="15.5" x14ac:dyDescent="0.35">
      <c r="A14" s="225">
        <v>46355</v>
      </c>
      <c r="B14" s="226">
        <f>Fixtures[[#This Row],[Opposition]]</f>
        <v>0</v>
      </c>
      <c r="C14" s="165"/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227"/>
    </row>
    <row r="15" spans="1:28" ht="15.5" x14ac:dyDescent="0.35">
      <c r="A15" s="225">
        <v>46362</v>
      </c>
      <c r="B15" s="226">
        <f>Fixtures[[#This Row],[Opposition]]</f>
        <v>0</v>
      </c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227"/>
    </row>
    <row r="16" spans="1:28" ht="15.5" x14ac:dyDescent="0.35">
      <c r="A16" s="225">
        <v>46369</v>
      </c>
      <c r="B16" s="226">
        <f>Fixtures[[#This Row],[Opposition]]</f>
        <v>0</v>
      </c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  <c r="AA16" s="165"/>
      <c r="AB16" s="227"/>
    </row>
    <row r="17" spans="1:28" ht="15.5" x14ac:dyDescent="0.35">
      <c r="A17" s="225">
        <v>46376</v>
      </c>
      <c r="B17" s="226">
        <f>Fixtures[[#This Row],[Opposition]]</f>
        <v>0</v>
      </c>
      <c r="C17" s="165"/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  <c r="AA17" s="165"/>
      <c r="AB17" s="227"/>
    </row>
    <row r="18" spans="1:28" ht="15.5" x14ac:dyDescent="0.35">
      <c r="A18" s="225">
        <v>46383</v>
      </c>
      <c r="B18" s="226">
        <f>Fixtures[[#This Row],[Opposition]]</f>
        <v>0</v>
      </c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227"/>
    </row>
    <row r="19" spans="1:28" ht="15.5" x14ac:dyDescent="0.35">
      <c r="A19" s="225">
        <v>46390</v>
      </c>
      <c r="B19" s="226">
        <f>Fixtures[[#This Row],[Opposition]]</f>
        <v>0</v>
      </c>
      <c r="C19" s="165"/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227"/>
    </row>
    <row r="20" spans="1:28" ht="15.5" x14ac:dyDescent="0.35">
      <c r="A20" s="225">
        <v>46397</v>
      </c>
      <c r="B20" s="226">
        <f>Fixtures[[#This Row],[Opposition]]</f>
        <v>0</v>
      </c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227"/>
    </row>
    <row r="21" spans="1:28" ht="15.5" x14ac:dyDescent="0.35">
      <c r="A21" s="225">
        <v>46404</v>
      </c>
      <c r="B21" s="226">
        <f>Fixtures[[#This Row],[Opposition]]</f>
        <v>0</v>
      </c>
      <c r="C21" s="165"/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5"/>
      <c r="V21" s="165"/>
      <c r="W21" s="165"/>
      <c r="X21" s="165"/>
      <c r="Y21" s="165"/>
      <c r="Z21" s="165"/>
      <c r="AA21" s="165"/>
      <c r="AB21" s="227"/>
    </row>
    <row r="22" spans="1:28" ht="15.5" x14ac:dyDescent="0.35">
      <c r="A22" s="225">
        <v>46411</v>
      </c>
      <c r="B22" s="226">
        <f>Fixtures[[#This Row],[Opposition]]</f>
        <v>0</v>
      </c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165"/>
      <c r="R22" s="165"/>
      <c r="S22" s="165"/>
      <c r="T22" s="165"/>
      <c r="U22" s="165"/>
      <c r="V22" s="165"/>
      <c r="W22" s="165"/>
      <c r="X22" s="165"/>
      <c r="Y22" s="165"/>
      <c r="Z22" s="165"/>
      <c r="AA22" s="165"/>
      <c r="AB22" s="227"/>
    </row>
    <row r="23" spans="1:28" ht="15.5" x14ac:dyDescent="0.35">
      <c r="A23" s="225">
        <v>46418</v>
      </c>
      <c r="B23" s="226">
        <f>Fixtures[[#This Row],[Opposition]]</f>
        <v>0</v>
      </c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165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227"/>
    </row>
    <row r="24" spans="1:28" ht="15.5" x14ac:dyDescent="0.35">
      <c r="A24" s="225">
        <v>46425</v>
      </c>
      <c r="B24" s="226">
        <f>Fixtures[[#This Row],[Opposition]]</f>
        <v>0</v>
      </c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Y24" s="165"/>
      <c r="Z24" s="165"/>
      <c r="AA24" s="165"/>
      <c r="AB24" s="227"/>
    </row>
    <row r="25" spans="1:28" ht="15.5" x14ac:dyDescent="0.35">
      <c r="A25" s="225">
        <v>46432</v>
      </c>
      <c r="B25" s="226">
        <f>Fixtures[[#This Row],[Opposition]]</f>
        <v>0</v>
      </c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  <c r="Z25" s="165"/>
      <c r="AA25" s="165"/>
      <c r="AB25" s="227"/>
    </row>
    <row r="26" spans="1:28" ht="15.5" x14ac:dyDescent="0.35">
      <c r="A26" s="225">
        <v>46439</v>
      </c>
      <c r="B26" s="226">
        <f>Fixtures[[#This Row],[Opposition]]</f>
        <v>0</v>
      </c>
      <c r="C26" s="165"/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227"/>
    </row>
    <row r="27" spans="1:28" ht="15.5" x14ac:dyDescent="0.35">
      <c r="A27" s="225">
        <v>46446</v>
      </c>
      <c r="B27" s="226">
        <f>Fixtures[[#This Row],[Opposition]]</f>
        <v>0</v>
      </c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  <c r="Z27" s="165"/>
      <c r="AA27" s="165"/>
      <c r="AB27" s="227"/>
    </row>
    <row r="28" spans="1:28" ht="15.5" x14ac:dyDescent="0.35">
      <c r="A28" s="225">
        <v>46453</v>
      </c>
      <c r="B28" s="226">
        <f>Fixtures[[#This Row],[Opposition]]</f>
        <v>0</v>
      </c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227"/>
    </row>
    <row r="29" spans="1:28" ht="15.5" x14ac:dyDescent="0.35">
      <c r="A29" s="225">
        <v>46460</v>
      </c>
      <c r="B29" s="226">
        <f>Fixtures[[#This Row],[Opposition]]</f>
        <v>0</v>
      </c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  <c r="Z29" s="165"/>
      <c r="AA29" s="165"/>
      <c r="AB29" s="227"/>
    </row>
    <row r="30" spans="1:28" ht="15.5" x14ac:dyDescent="0.35">
      <c r="A30" s="225">
        <v>46467</v>
      </c>
      <c r="B30" s="226">
        <f>Fixtures[[#This Row],[Opposition]]</f>
        <v>0</v>
      </c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  <c r="Z30" s="165"/>
      <c r="AA30" s="165"/>
      <c r="AB30" s="227"/>
    </row>
    <row r="31" spans="1:28" ht="15.5" x14ac:dyDescent="0.35">
      <c r="A31" s="225">
        <v>46474</v>
      </c>
      <c r="B31" s="226">
        <f>Fixtures[[#This Row],[Opposition]]</f>
        <v>0</v>
      </c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  <c r="Z31" s="165"/>
      <c r="AA31" s="165"/>
      <c r="AB31" s="227"/>
    </row>
    <row r="32" spans="1:28" ht="15.5" x14ac:dyDescent="0.35">
      <c r="A32" s="225">
        <v>46481</v>
      </c>
      <c r="B32" s="226">
        <f>Fixtures[[#This Row],[Opposition]]</f>
        <v>0</v>
      </c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  <c r="Z32" s="165"/>
      <c r="AA32" s="165"/>
      <c r="AB32" s="227"/>
    </row>
    <row r="33" spans="1:28" ht="15.5" x14ac:dyDescent="0.35">
      <c r="A33" s="225">
        <v>46488</v>
      </c>
      <c r="B33" s="226">
        <f>Fixtures[[#This Row],[Opposition]]</f>
        <v>0</v>
      </c>
      <c r="C33" s="165"/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  <c r="Z33" s="165"/>
      <c r="AA33" s="165"/>
      <c r="AB33" s="227"/>
    </row>
    <row r="34" spans="1:28" ht="15.5" x14ac:dyDescent="0.35">
      <c r="A34" s="225">
        <v>46495</v>
      </c>
      <c r="B34" s="226">
        <f>Fixtures[[#This Row],[Opposition]]</f>
        <v>0</v>
      </c>
      <c r="C34" s="165"/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  <c r="Z34" s="165"/>
      <c r="AA34" s="165"/>
      <c r="AB34" s="227"/>
    </row>
    <row r="35" spans="1:28" ht="15.5" x14ac:dyDescent="0.35">
      <c r="A35" s="225">
        <v>46502</v>
      </c>
      <c r="B35" s="226">
        <f>Fixtures[[#This Row],[Opposition]]</f>
        <v>0</v>
      </c>
      <c r="C35" s="165"/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  <c r="Z35" s="165"/>
      <c r="AA35" s="165"/>
      <c r="AB35" s="227"/>
    </row>
    <row r="36" spans="1:28" ht="15.5" x14ac:dyDescent="0.35">
      <c r="A36" s="225">
        <v>46509</v>
      </c>
      <c r="B36" s="226">
        <f>Fixtures[[#This Row],[Opposition]]</f>
        <v>0</v>
      </c>
      <c r="C36" s="165"/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165"/>
      <c r="R36" s="165"/>
      <c r="S36" s="165"/>
      <c r="T36" s="165"/>
      <c r="U36" s="165"/>
      <c r="V36" s="165"/>
      <c r="W36" s="165"/>
      <c r="X36" s="165"/>
      <c r="Y36" s="165"/>
      <c r="Z36" s="165"/>
      <c r="AA36" s="165"/>
      <c r="AB36" s="227"/>
    </row>
    <row r="37" spans="1:28" s="169" customFormat="1" ht="20" x14ac:dyDescent="0.4">
      <c r="A37" s="225">
        <v>46516</v>
      </c>
      <c r="B37" s="226">
        <f>Fixtures[[#This Row],[Opposition]]</f>
        <v>0</v>
      </c>
      <c r="C37" s="168"/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229"/>
    </row>
    <row r="38" spans="1:28" ht="15.5" x14ac:dyDescent="0.35">
      <c r="A38" s="225">
        <v>46523</v>
      </c>
      <c r="B38" s="226">
        <f>Fixtures[[#This Row],[Opposition]]</f>
        <v>0</v>
      </c>
      <c r="C38" s="165"/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65"/>
      <c r="R38" s="165"/>
      <c r="S38" s="165"/>
      <c r="T38" s="165"/>
      <c r="U38" s="165"/>
      <c r="V38" s="165"/>
      <c r="W38" s="165"/>
      <c r="X38" s="165"/>
      <c r="Y38" s="165"/>
      <c r="Z38" s="165"/>
      <c r="AA38" s="165"/>
      <c r="AB38" s="227"/>
    </row>
    <row r="39" spans="1:28" ht="15.5" x14ac:dyDescent="0.35">
      <c r="A39" s="225">
        <v>46530</v>
      </c>
      <c r="B39" s="226">
        <f>Fixtures[[#This Row],[Opposition]]</f>
        <v>0</v>
      </c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5"/>
      <c r="T39" s="165"/>
      <c r="U39" s="165"/>
      <c r="V39" s="165"/>
      <c r="W39" s="165"/>
      <c r="X39" s="165"/>
      <c r="Y39" s="165"/>
      <c r="Z39" s="165"/>
      <c r="AA39" s="165"/>
      <c r="AB39" s="227"/>
    </row>
    <row r="40" spans="1:28" ht="15.5" x14ac:dyDescent="0.35">
      <c r="A40" s="225">
        <v>46537</v>
      </c>
      <c r="B40" s="226">
        <f>Fixtures[[#This Row],[Opposition]]</f>
        <v>0</v>
      </c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65"/>
      <c r="R40" s="165"/>
      <c r="S40" s="165"/>
      <c r="T40" s="165"/>
      <c r="U40" s="165"/>
      <c r="V40" s="165"/>
      <c r="W40" s="165"/>
      <c r="X40" s="165"/>
      <c r="Y40" s="165"/>
      <c r="Z40" s="165"/>
      <c r="AA40" s="165"/>
      <c r="AB40" s="227"/>
    </row>
    <row r="41" spans="1:28" ht="15.5" x14ac:dyDescent="0.35">
      <c r="A41" s="225">
        <v>46544</v>
      </c>
      <c r="B41" s="226">
        <f>Fixtures[[#This Row],[Opposition]]</f>
        <v>0</v>
      </c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5"/>
      <c r="T41" s="165"/>
      <c r="U41" s="165"/>
      <c r="V41" s="165"/>
      <c r="W41" s="165"/>
      <c r="X41" s="165"/>
      <c r="Y41" s="165"/>
      <c r="Z41" s="165"/>
      <c r="AA41" s="165"/>
      <c r="AB41" s="227"/>
    </row>
    <row r="42" spans="1:28" ht="15.5" x14ac:dyDescent="0.35">
      <c r="A42" s="225">
        <v>46551</v>
      </c>
      <c r="B42" s="226">
        <f>Fixtures[[#This Row],[Opposition]]</f>
        <v>0</v>
      </c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5"/>
      <c r="T42" s="165"/>
      <c r="U42" s="165"/>
      <c r="V42" s="165"/>
      <c r="W42" s="165"/>
      <c r="X42" s="165"/>
      <c r="Y42" s="165"/>
      <c r="Z42" s="165"/>
      <c r="AA42" s="165"/>
      <c r="AB42" s="227"/>
    </row>
    <row r="43" spans="1:28" ht="15.5" x14ac:dyDescent="0.35">
      <c r="A43" s="225">
        <v>46558</v>
      </c>
      <c r="B43" s="226">
        <f>Fixtures[[#This Row],[Opposition]]</f>
        <v>0</v>
      </c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5"/>
      <c r="T43" s="165"/>
      <c r="U43" s="165"/>
      <c r="V43" s="165"/>
      <c r="W43" s="165"/>
      <c r="X43" s="165"/>
      <c r="Y43" s="165"/>
      <c r="Z43" s="165"/>
      <c r="AA43" s="165"/>
      <c r="AB43" s="227"/>
    </row>
    <row r="44" spans="1:28" ht="15.5" x14ac:dyDescent="0.35">
      <c r="A44" s="225">
        <v>46565</v>
      </c>
      <c r="B44" s="226">
        <f>Fixtures[[#This Row],[Opposition]]</f>
        <v>0</v>
      </c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227"/>
    </row>
    <row r="45" spans="1:28" ht="15.5" x14ac:dyDescent="0.35">
      <c r="A45" s="225">
        <v>46572</v>
      </c>
      <c r="B45" s="226">
        <f>Fixtures[[#This Row],[Opposition]]</f>
        <v>0</v>
      </c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165"/>
      <c r="R45" s="165"/>
      <c r="S45" s="165"/>
      <c r="T45" s="165"/>
      <c r="U45" s="165"/>
      <c r="V45" s="165"/>
      <c r="W45" s="165"/>
      <c r="X45" s="165"/>
      <c r="Y45" s="165"/>
      <c r="Z45" s="165"/>
      <c r="AA45" s="165"/>
      <c r="AB45" s="227"/>
    </row>
    <row r="46" spans="1:28" ht="15.5" x14ac:dyDescent="0.35">
      <c r="A46" s="225">
        <v>46579</v>
      </c>
      <c r="B46" s="226">
        <f>Fixtures[[#This Row],[Opposition]]</f>
        <v>0</v>
      </c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5"/>
      <c r="T46" s="165"/>
      <c r="U46" s="165"/>
      <c r="V46" s="165"/>
      <c r="W46" s="165"/>
      <c r="X46" s="165"/>
      <c r="Y46" s="165"/>
      <c r="Z46" s="165"/>
      <c r="AA46" s="165"/>
      <c r="AB46" s="227"/>
    </row>
    <row r="47" spans="1:28" ht="15.5" x14ac:dyDescent="0.35">
      <c r="A47" s="225">
        <v>46586</v>
      </c>
      <c r="B47" s="226">
        <f>Fixtures[[#This Row],[Opposition]]</f>
        <v>0</v>
      </c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5"/>
      <c r="T47" s="165"/>
      <c r="U47" s="165"/>
      <c r="V47" s="165"/>
      <c r="W47" s="165"/>
      <c r="X47" s="165"/>
      <c r="Y47" s="165"/>
      <c r="Z47" s="165"/>
      <c r="AA47" s="165"/>
      <c r="AB47" s="227"/>
    </row>
    <row r="48" spans="1:28" ht="15.5" x14ac:dyDescent="0.35">
      <c r="A48" s="225">
        <v>46593</v>
      </c>
      <c r="B48" s="226">
        <f>Fixtures[[#This Row],[Opposition]]</f>
        <v>0</v>
      </c>
      <c r="C48" s="165"/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165"/>
      <c r="R48" s="165"/>
      <c r="S48" s="165"/>
      <c r="T48" s="165"/>
      <c r="U48" s="165"/>
      <c r="V48" s="165"/>
      <c r="W48" s="165"/>
      <c r="X48" s="165"/>
      <c r="Y48" s="165"/>
      <c r="Z48" s="165"/>
      <c r="AA48" s="165"/>
      <c r="AB48" s="227"/>
    </row>
    <row r="49" spans="1:28" ht="15.5" x14ac:dyDescent="0.35">
      <c r="A49" s="225">
        <v>46600</v>
      </c>
      <c r="B49" s="226">
        <f>Fixtures[[#This Row],[Opposition]]</f>
        <v>0</v>
      </c>
      <c r="C49" s="165"/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165"/>
      <c r="R49" s="165"/>
      <c r="S49" s="165"/>
      <c r="T49" s="165"/>
      <c r="U49" s="165"/>
      <c r="V49" s="165"/>
      <c r="W49" s="165"/>
      <c r="X49" s="165"/>
      <c r="Y49" s="165"/>
      <c r="Z49" s="165"/>
      <c r="AA49" s="165"/>
      <c r="AB49" s="227"/>
    </row>
    <row r="50" spans="1:28" ht="15.5" x14ac:dyDescent="0.35">
      <c r="A50" s="225">
        <v>46607</v>
      </c>
      <c r="B50" s="226">
        <f>Fixtures[[#This Row],[Opposition]]</f>
        <v>0</v>
      </c>
      <c r="C50" s="165"/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165"/>
      <c r="R50" s="165"/>
      <c r="S50" s="165"/>
      <c r="T50" s="165"/>
      <c r="U50" s="165"/>
      <c r="V50" s="165"/>
      <c r="W50" s="165"/>
      <c r="X50" s="165"/>
      <c r="Y50" s="165"/>
      <c r="Z50" s="165"/>
      <c r="AA50" s="165"/>
      <c r="AB50" s="227"/>
    </row>
    <row r="51" spans="1:28" ht="15.5" x14ac:dyDescent="0.35">
      <c r="A51" s="225">
        <v>46614</v>
      </c>
      <c r="B51" s="226">
        <f>Fixtures[[#This Row],[Opposition]]</f>
        <v>0</v>
      </c>
      <c r="C51" s="165"/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227"/>
    </row>
    <row r="52" spans="1:28" ht="15.5" x14ac:dyDescent="0.35">
      <c r="A52" s="225">
        <v>46621</v>
      </c>
      <c r="B52" s="226">
        <f>Fixtures[[#This Row],[Opposition]]</f>
        <v>0</v>
      </c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227"/>
    </row>
    <row r="53" spans="1:28" ht="15.5" x14ac:dyDescent="0.35">
      <c r="A53" s="230">
        <v>46628</v>
      </c>
      <c r="B53" s="231">
        <f>Fixtures[[#This Row],[Opposition]]</f>
        <v>0</v>
      </c>
      <c r="C53" s="232"/>
      <c r="D53" s="232"/>
      <c r="E53" s="232"/>
      <c r="F53" s="232"/>
      <c r="G53" s="232"/>
      <c r="H53" s="232"/>
      <c r="I53" s="232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232"/>
      <c r="Z53" s="232"/>
      <c r="AA53" s="232"/>
      <c r="AB53" s="233"/>
    </row>
    <row r="54" spans="1:28" x14ac:dyDescent="0.35">
      <c r="B54" s="224"/>
      <c r="C54" s="166"/>
      <c r="D54" s="166"/>
      <c r="E54" s="166"/>
      <c r="F54" s="166"/>
      <c r="G54" s="166"/>
      <c r="H54" s="166"/>
      <c r="I54" s="166"/>
      <c r="J54" s="166"/>
      <c r="K54" s="166"/>
      <c r="L54" s="166"/>
      <c r="M54" s="166"/>
      <c r="N54" s="166"/>
      <c r="O54" s="166"/>
      <c r="P54" s="166"/>
      <c r="Q54" s="166"/>
      <c r="R54" s="166"/>
      <c r="S54" s="166"/>
      <c r="T54" s="166"/>
      <c r="U54" s="166"/>
      <c r="V54" s="166"/>
      <c r="W54" s="166"/>
      <c r="X54" s="166"/>
      <c r="Y54" s="166"/>
      <c r="Z54" s="166"/>
      <c r="AA54" s="166"/>
      <c r="AB54" s="166"/>
    </row>
    <row r="55" spans="1:28" s="173" customFormat="1" ht="17.5" x14ac:dyDescent="0.35">
      <c r="B55" s="222"/>
    </row>
    <row r="56" spans="1:28" x14ac:dyDescent="0.35">
      <c r="B56" s="224"/>
      <c r="C56" s="166"/>
      <c r="D56" s="166"/>
      <c r="E56" s="166"/>
      <c r="F56" s="166"/>
      <c r="G56" s="166"/>
      <c r="H56" s="166"/>
      <c r="I56" s="166"/>
      <c r="J56" s="166"/>
      <c r="K56" s="166"/>
      <c r="L56" s="166"/>
      <c r="M56" s="166"/>
      <c r="N56" s="166"/>
      <c r="O56" s="166"/>
      <c r="P56" s="166"/>
      <c r="Q56" s="166"/>
      <c r="R56" s="166"/>
      <c r="S56" s="166"/>
      <c r="T56" s="166"/>
      <c r="U56" s="166"/>
      <c r="V56" s="166"/>
      <c r="W56" s="166"/>
      <c r="X56" s="166"/>
      <c r="Y56" s="166"/>
      <c r="Z56" s="166"/>
      <c r="AA56" s="166"/>
      <c r="AB56" s="166"/>
    </row>
    <row r="57" spans="1:28" x14ac:dyDescent="0.35">
      <c r="B57" s="224"/>
      <c r="C57" s="166"/>
      <c r="D57" s="166"/>
      <c r="E57" s="166"/>
      <c r="F57" s="166"/>
      <c r="G57" s="166"/>
      <c r="H57" s="166"/>
      <c r="I57" s="166"/>
      <c r="J57" s="166"/>
      <c r="K57" s="166"/>
      <c r="L57" s="166"/>
      <c r="M57" s="166"/>
      <c r="N57" s="166"/>
      <c r="O57" s="166"/>
      <c r="P57" s="166"/>
      <c r="Q57" s="166"/>
      <c r="R57" s="166"/>
      <c r="S57" s="166"/>
      <c r="T57" s="166"/>
      <c r="U57" s="166"/>
      <c r="V57" s="166"/>
      <c r="W57" s="166"/>
      <c r="X57" s="166"/>
      <c r="Y57" s="166"/>
      <c r="Z57" s="166"/>
      <c r="AA57" s="166"/>
      <c r="AB57" s="166"/>
    </row>
    <row r="58" spans="1:28" x14ac:dyDescent="0.35">
      <c r="B58" s="224"/>
      <c r="C58" s="166"/>
      <c r="D58" s="166"/>
      <c r="E58" s="166"/>
      <c r="F58" s="166"/>
      <c r="G58" s="166"/>
      <c r="H58" s="166"/>
      <c r="I58" s="166"/>
      <c r="J58" s="166"/>
      <c r="K58" s="166"/>
      <c r="L58" s="166"/>
      <c r="M58" s="166"/>
      <c r="N58" s="166"/>
      <c r="O58" s="166"/>
      <c r="P58" s="166"/>
      <c r="Q58" s="166"/>
      <c r="R58" s="166"/>
      <c r="S58" s="166"/>
      <c r="T58" s="166"/>
      <c r="U58" s="166"/>
      <c r="V58" s="166"/>
      <c r="W58" s="166"/>
      <c r="X58" s="166"/>
      <c r="Y58" s="166"/>
      <c r="Z58" s="166"/>
      <c r="AA58" s="166"/>
      <c r="AB58" s="166"/>
    </row>
    <row r="59" spans="1:28" x14ac:dyDescent="0.35">
      <c r="B59" s="224"/>
      <c r="C59" s="166"/>
      <c r="D59" s="166"/>
      <c r="E59" s="166"/>
      <c r="F59" s="166"/>
      <c r="G59" s="166"/>
      <c r="H59" s="166"/>
      <c r="I59" s="166"/>
      <c r="J59" s="166"/>
      <c r="K59" s="166"/>
      <c r="L59" s="166"/>
      <c r="M59" s="166"/>
      <c r="N59" s="166"/>
      <c r="O59" s="166"/>
      <c r="P59" s="166"/>
      <c r="Q59" s="166"/>
      <c r="R59" s="166"/>
      <c r="S59" s="166"/>
      <c r="T59" s="166"/>
      <c r="U59" s="166"/>
      <c r="V59" s="166"/>
      <c r="W59" s="166"/>
      <c r="X59" s="166"/>
      <c r="Y59" s="166"/>
      <c r="Z59" s="166"/>
      <c r="AA59" s="166"/>
      <c r="AB59" s="166"/>
    </row>
    <row r="60" spans="1:28" x14ac:dyDescent="0.35">
      <c r="B60" s="224"/>
      <c r="C60" s="166"/>
      <c r="D60" s="166"/>
      <c r="E60" s="166"/>
      <c r="F60" s="166"/>
      <c r="G60" s="166"/>
      <c r="H60" s="166"/>
      <c r="I60" s="166"/>
      <c r="J60" s="166"/>
      <c r="K60" s="166"/>
      <c r="L60" s="166"/>
      <c r="M60" s="166"/>
      <c r="N60" s="166"/>
      <c r="O60" s="166"/>
      <c r="P60" s="166"/>
      <c r="Q60" s="166"/>
      <c r="R60" s="166"/>
      <c r="S60" s="166"/>
      <c r="T60" s="166"/>
      <c r="U60" s="166"/>
      <c r="V60" s="166"/>
      <c r="W60" s="166"/>
      <c r="X60" s="166"/>
      <c r="Y60" s="166"/>
      <c r="Z60" s="166"/>
      <c r="AA60" s="166"/>
      <c r="AB60" s="166"/>
    </row>
    <row r="61" spans="1:28" x14ac:dyDescent="0.35">
      <c r="B61" s="224"/>
      <c r="C61" s="166"/>
      <c r="D61" s="166"/>
      <c r="E61" s="166"/>
      <c r="F61" s="166"/>
      <c r="G61" s="166"/>
      <c r="H61" s="166"/>
      <c r="I61" s="166"/>
      <c r="J61" s="166"/>
      <c r="K61" s="166"/>
      <c r="L61" s="166"/>
      <c r="M61" s="166"/>
      <c r="N61" s="166"/>
      <c r="O61" s="166"/>
      <c r="P61" s="166"/>
      <c r="Q61" s="166"/>
      <c r="R61" s="166"/>
      <c r="S61" s="166"/>
      <c r="T61" s="166"/>
      <c r="U61" s="166"/>
      <c r="V61" s="166"/>
      <c r="W61" s="166"/>
      <c r="X61" s="166"/>
      <c r="Y61" s="166"/>
      <c r="Z61" s="166"/>
      <c r="AA61" s="166"/>
      <c r="AB61" s="166"/>
    </row>
    <row r="62" spans="1:28" x14ac:dyDescent="0.35">
      <c r="B62" s="224"/>
      <c r="C62" s="166"/>
      <c r="D62" s="166"/>
      <c r="E62" s="166"/>
      <c r="F62" s="166"/>
      <c r="G62" s="166"/>
      <c r="H62" s="166"/>
      <c r="I62" s="166"/>
      <c r="J62" s="166"/>
      <c r="K62" s="166"/>
      <c r="L62" s="166"/>
      <c r="M62" s="166"/>
      <c r="N62" s="166"/>
      <c r="O62" s="166"/>
      <c r="P62" s="166"/>
      <c r="Q62" s="166"/>
      <c r="R62" s="166"/>
      <c r="S62" s="166"/>
      <c r="T62" s="166"/>
      <c r="U62" s="166"/>
      <c r="V62" s="166"/>
      <c r="W62" s="166"/>
      <c r="X62" s="166"/>
      <c r="Y62" s="166"/>
      <c r="Z62" s="166"/>
      <c r="AA62" s="166"/>
      <c r="AB62" s="166"/>
    </row>
    <row r="63" spans="1:28" x14ac:dyDescent="0.35">
      <c r="B63" s="224"/>
      <c r="C63" s="166"/>
      <c r="D63" s="166"/>
      <c r="E63" s="166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6"/>
      <c r="Q63" s="166"/>
      <c r="R63" s="166"/>
      <c r="S63" s="166"/>
      <c r="T63" s="166"/>
      <c r="U63" s="166"/>
      <c r="V63" s="166"/>
      <c r="W63" s="166"/>
      <c r="X63" s="166"/>
      <c r="Y63" s="166"/>
      <c r="Z63" s="166"/>
      <c r="AA63" s="166"/>
      <c r="AB63" s="166"/>
    </row>
    <row r="64" spans="1:28" x14ac:dyDescent="0.35">
      <c r="B64" s="224"/>
      <c r="C64" s="166"/>
      <c r="D64" s="166"/>
      <c r="E64" s="166"/>
      <c r="F64" s="166"/>
      <c r="G64" s="166"/>
      <c r="H64" s="166"/>
      <c r="I64" s="166"/>
      <c r="J64" s="166"/>
      <c r="K64" s="166"/>
      <c r="L64" s="166"/>
      <c r="M64" s="166"/>
      <c r="N64" s="166"/>
      <c r="O64" s="166"/>
      <c r="P64" s="166"/>
      <c r="Q64" s="166"/>
      <c r="R64" s="166"/>
      <c r="S64" s="166"/>
      <c r="T64" s="166"/>
      <c r="U64" s="166"/>
      <c r="V64" s="166"/>
      <c r="W64" s="166"/>
      <c r="X64" s="166"/>
      <c r="Y64" s="166"/>
      <c r="Z64" s="166"/>
      <c r="AA64" s="166"/>
      <c r="AB64" s="166"/>
    </row>
    <row r="65" spans="2:28" x14ac:dyDescent="0.35">
      <c r="B65" s="224"/>
      <c r="C65" s="166"/>
      <c r="D65" s="166"/>
      <c r="E65" s="166"/>
      <c r="F65" s="166"/>
      <c r="G65" s="166"/>
      <c r="H65" s="166"/>
      <c r="I65" s="166"/>
      <c r="J65" s="166"/>
      <c r="K65" s="166"/>
      <c r="L65" s="166"/>
      <c r="M65" s="166"/>
      <c r="N65" s="166"/>
      <c r="O65" s="166"/>
      <c r="P65" s="166"/>
      <c r="Q65" s="166"/>
      <c r="R65" s="166"/>
      <c r="S65" s="166"/>
      <c r="T65" s="166"/>
      <c r="U65" s="166"/>
      <c r="V65" s="166"/>
      <c r="W65" s="166"/>
      <c r="X65" s="166"/>
      <c r="Y65" s="166"/>
      <c r="Z65" s="166"/>
      <c r="AA65" s="166"/>
      <c r="AB65" s="166"/>
    </row>
    <row r="66" spans="2:28" x14ac:dyDescent="0.35">
      <c r="B66" s="224"/>
      <c r="C66" s="166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6"/>
      <c r="Y66" s="166"/>
      <c r="Z66" s="166"/>
      <c r="AA66" s="166"/>
      <c r="AB66" s="166"/>
    </row>
    <row r="67" spans="2:28" x14ac:dyDescent="0.35">
      <c r="B67" s="224"/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6"/>
      <c r="N67" s="166"/>
      <c r="O67" s="166"/>
      <c r="P67" s="166"/>
      <c r="Q67" s="166"/>
      <c r="R67" s="166"/>
      <c r="S67" s="166"/>
      <c r="T67" s="166"/>
      <c r="U67" s="166"/>
      <c r="V67" s="166"/>
      <c r="W67" s="166"/>
      <c r="X67" s="166"/>
      <c r="Y67" s="166"/>
      <c r="Z67" s="166"/>
      <c r="AA67" s="166"/>
      <c r="AB67" s="166"/>
    </row>
    <row r="68" spans="2:28" x14ac:dyDescent="0.35">
      <c r="B68" s="224"/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6"/>
      <c r="N68" s="166"/>
      <c r="O68" s="166"/>
      <c r="P68" s="166"/>
      <c r="Q68" s="166"/>
      <c r="R68" s="166"/>
      <c r="S68" s="166"/>
      <c r="T68" s="166"/>
      <c r="U68" s="166"/>
      <c r="V68" s="166"/>
      <c r="W68" s="166"/>
      <c r="X68" s="166"/>
      <c r="Y68" s="166"/>
      <c r="Z68" s="166"/>
      <c r="AA68" s="166"/>
      <c r="AB68" s="166"/>
    </row>
    <row r="69" spans="2:28" x14ac:dyDescent="0.35">
      <c r="B69" s="224"/>
      <c r="C69" s="166"/>
      <c r="D69" s="166"/>
      <c r="E69" s="166"/>
      <c r="F69" s="166"/>
      <c r="G69" s="166"/>
      <c r="H69" s="166"/>
      <c r="I69" s="166"/>
      <c r="J69" s="166"/>
      <c r="K69" s="166"/>
      <c r="L69" s="166"/>
      <c r="M69" s="166"/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</row>
    <row r="70" spans="2:28" x14ac:dyDescent="0.35">
      <c r="B70" s="224"/>
      <c r="C70" s="166"/>
      <c r="D70" s="166"/>
      <c r="E70" s="166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66"/>
      <c r="Z70" s="166"/>
      <c r="AA70" s="166"/>
      <c r="AB70" s="166"/>
    </row>
    <row r="71" spans="2:28" x14ac:dyDescent="0.35">
      <c r="B71" s="224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  <c r="P71" s="166"/>
      <c r="Q71" s="166"/>
      <c r="R71" s="166"/>
      <c r="S71" s="166"/>
      <c r="T71" s="166"/>
      <c r="U71" s="166"/>
      <c r="V71" s="166"/>
      <c r="W71" s="166"/>
      <c r="X71" s="166"/>
      <c r="Y71" s="166"/>
      <c r="Z71" s="166"/>
      <c r="AA71" s="166"/>
      <c r="AB71" s="166"/>
    </row>
    <row r="72" spans="2:28" x14ac:dyDescent="0.35">
      <c r="B72" s="224"/>
      <c r="C72" s="166"/>
      <c r="D72" s="166"/>
      <c r="E72" s="166"/>
      <c r="F72" s="166"/>
      <c r="G72" s="166"/>
      <c r="H72" s="166"/>
      <c r="I72" s="166"/>
      <c r="J72" s="166"/>
      <c r="K72" s="166"/>
      <c r="L72" s="166"/>
      <c r="M72" s="166"/>
      <c r="N72" s="166"/>
      <c r="O72" s="166"/>
      <c r="P72" s="166"/>
      <c r="Q72" s="166"/>
      <c r="R72" s="166"/>
      <c r="S72" s="166"/>
      <c r="T72" s="166"/>
      <c r="U72" s="166"/>
      <c r="V72" s="166"/>
      <c r="W72" s="166"/>
      <c r="X72" s="166"/>
      <c r="Y72" s="166"/>
      <c r="Z72" s="166"/>
      <c r="AA72" s="166"/>
      <c r="AB72" s="166"/>
    </row>
    <row r="73" spans="2:28" x14ac:dyDescent="0.35">
      <c r="B73" s="224"/>
      <c r="C73" s="166"/>
      <c r="D73" s="166"/>
      <c r="E73" s="166"/>
      <c r="F73" s="166"/>
      <c r="G73" s="166"/>
      <c r="H73" s="166"/>
      <c r="I73" s="166"/>
      <c r="J73" s="166"/>
      <c r="K73" s="166"/>
      <c r="L73" s="166"/>
      <c r="M73" s="166"/>
      <c r="N73" s="166"/>
      <c r="O73" s="166"/>
      <c r="P73" s="166"/>
      <c r="Q73" s="166"/>
      <c r="R73" s="166"/>
      <c r="S73" s="166"/>
      <c r="T73" s="166"/>
      <c r="U73" s="166"/>
      <c r="V73" s="166"/>
      <c r="W73" s="166"/>
      <c r="X73" s="166"/>
      <c r="Y73" s="166"/>
      <c r="Z73" s="166"/>
      <c r="AA73" s="166"/>
      <c r="AB73" s="166"/>
    </row>
    <row r="74" spans="2:28" x14ac:dyDescent="0.35">
      <c r="B74" s="224"/>
      <c r="C74" s="166"/>
      <c r="D74" s="166"/>
      <c r="E74" s="166"/>
      <c r="F74" s="166"/>
      <c r="G74" s="166"/>
      <c r="H74" s="166"/>
      <c r="I74" s="166"/>
      <c r="J74" s="166"/>
      <c r="K74" s="166"/>
      <c r="L74" s="166"/>
      <c r="M74" s="166"/>
      <c r="N74" s="166"/>
      <c r="O74" s="166"/>
      <c r="P74" s="166"/>
      <c r="Q74" s="166"/>
      <c r="R74" s="166"/>
      <c r="S74" s="166"/>
      <c r="T74" s="166"/>
      <c r="U74" s="166"/>
      <c r="V74" s="166"/>
      <c r="W74" s="166"/>
      <c r="X74" s="166"/>
      <c r="Y74" s="166"/>
      <c r="Z74" s="166"/>
      <c r="AA74" s="166"/>
      <c r="AB74" s="166"/>
    </row>
    <row r="75" spans="2:28" x14ac:dyDescent="0.35">
      <c r="B75" s="224"/>
      <c r="C75" s="166"/>
      <c r="D75" s="166"/>
      <c r="E75" s="166"/>
      <c r="F75" s="166"/>
      <c r="G75" s="166"/>
      <c r="H75" s="166"/>
      <c r="I75" s="166"/>
      <c r="J75" s="166"/>
      <c r="K75" s="166"/>
      <c r="L75" s="166"/>
      <c r="M75" s="166"/>
      <c r="N75" s="166"/>
      <c r="O75" s="166"/>
      <c r="P75" s="166"/>
      <c r="Q75" s="166"/>
      <c r="R75" s="166"/>
      <c r="S75" s="166"/>
      <c r="T75" s="166"/>
      <c r="U75" s="166"/>
      <c r="V75" s="166"/>
      <c r="W75" s="166"/>
      <c r="X75" s="166"/>
      <c r="Y75" s="166"/>
      <c r="Z75" s="166"/>
      <c r="AA75" s="166"/>
      <c r="AB75" s="166"/>
    </row>
    <row r="76" spans="2:28" x14ac:dyDescent="0.35">
      <c r="B76" s="224"/>
      <c r="C76" s="166"/>
      <c r="D76" s="166"/>
      <c r="E76" s="166"/>
      <c r="F76" s="166"/>
      <c r="G76" s="166"/>
      <c r="H76" s="166"/>
      <c r="I76" s="166"/>
      <c r="J76" s="166"/>
      <c r="K76" s="166"/>
      <c r="L76" s="166"/>
      <c r="M76" s="166"/>
      <c r="N76" s="166"/>
      <c r="O76" s="166"/>
      <c r="P76" s="166"/>
      <c r="Q76" s="166"/>
      <c r="R76" s="166"/>
      <c r="S76" s="166"/>
      <c r="T76" s="166"/>
      <c r="U76" s="166"/>
      <c r="V76" s="166"/>
      <c r="W76" s="166"/>
      <c r="X76" s="166"/>
      <c r="Y76" s="166"/>
      <c r="Z76" s="166"/>
      <c r="AA76" s="166"/>
      <c r="AB76" s="166"/>
    </row>
    <row r="77" spans="2:28" x14ac:dyDescent="0.35">
      <c r="B77" s="224"/>
      <c r="C77" s="166"/>
      <c r="D77" s="166"/>
      <c r="E77" s="166"/>
      <c r="F77" s="166"/>
      <c r="G77" s="166"/>
      <c r="H77" s="166"/>
      <c r="I77" s="166"/>
      <c r="J77" s="166"/>
      <c r="K77" s="166"/>
      <c r="L77" s="166"/>
      <c r="M77" s="166"/>
      <c r="N77" s="166"/>
      <c r="O77" s="166"/>
      <c r="P77" s="166"/>
      <c r="Q77" s="166"/>
      <c r="R77" s="166"/>
      <c r="S77" s="166"/>
      <c r="T77" s="166"/>
      <c r="U77" s="166"/>
      <c r="V77" s="166"/>
      <c r="W77" s="166"/>
      <c r="X77" s="166"/>
      <c r="Y77" s="166"/>
      <c r="Z77" s="166"/>
      <c r="AA77" s="166"/>
      <c r="AB77" s="166"/>
    </row>
    <row r="78" spans="2:28" x14ac:dyDescent="0.35">
      <c r="B78" s="224"/>
      <c r="C78" s="166"/>
      <c r="D78" s="166"/>
      <c r="E78" s="166"/>
      <c r="F78" s="166"/>
      <c r="G78" s="166"/>
      <c r="H78" s="166"/>
      <c r="I78" s="166"/>
      <c r="J78" s="166"/>
      <c r="K78" s="166"/>
      <c r="L78" s="166"/>
      <c r="M78" s="166"/>
      <c r="N78" s="166"/>
      <c r="O78" s="166"/>
      <c r="P78" s="166"/>
      <c r="Q78" s="166"/>
      <c r="R78" s="166"/>
      <c r="S78" s="166"/>
      <c r="T78" s="166"/>
      <c r="U78" s="166"/>
      <c r="V78" s="166"/>
      <c r="W78" s="166"/>
      <c r="X78" s="166"/>
      <c r="Y78" s="166"/>
      <c r="Z78" s="166"/>
      <c r="AA78" s="166"/>
      <c r="AB78" s="166"/>
    </row>
    <row r="79" spans="2:28" x14ac:dyDescent="0.35">
      <c r="B79" s="224"/>
      <c r="C79" s="166"/>
      <c r="D79" s="166"/>
      <c r="E79" s="166"/>
      <c r="F79" s="166"/>
      <c r="G79" s="166"/>
      <c r="H79" s="166"/>
      <c r="I79" s="166"/>
      <c r="J79" s="166"/>
      <c r="K79" s="166"/>
      <c r="L79" s="166"/>
      <c r="M79" s="166"/>
      <c r="N79" s="166"/>
      <c r="O79" s="166"/>
      <c r="P79" s="166"/>
      <c r="Q79" s="166"/>
      <c r="R79" s="166"/>
      <c r="S79" s="166"/>
      <c r="T79" s="166"/>
      <c r="U79" s="166"/>
      <c r="V79" s="166"/>
      <c r="W79" s="166"/>
      <c r="X79" s="166"/>
      <c r="Y79" s="166"/>
      <c r="Z79" s="166"/>
      <c r="AA79" s="166"/>
      <c r="AB79" s="166"/>
    </row>
    <row r="80" spans="2:28" x14ac:dyDescent="0.35">
      <c r="B80" s="224"/>
      <c r="C80" s="166"/>
      <c r="D80" s="166"/>
      <c r="E80" s="166"/>
      <c r="F80" s="166"/>
      <c r="G80" s="166"/>
      <c r="H80" s="166"/>
      <c r="I80" s="166"/>
      <c r="J80" s="166"/>
      <c r="K80" s="166"/>
      <c r="L80" s="166"/>
      <c r="M80" s="166"/>
      <c r="N80" s="166"/>
      <c r="O80" s="166"/>
      <c r="P80" s="166"/>
      <c r="Q80" s="166"/>
      <c r="R80" s="166"/>
      <c r="S80" s="166"/>
      <c r="T80" s="166"/>
      <c r="U80" s="166"/>
      <c r="V80" s="166"/>
      <c r="W80" s="166"/>
      <c r="X80" s="166"/>
      <c r="Y80" s="166"/>
      <c r="Z80" s="166"/>
      <c r="AA80" s="166"/>
      <c r="AB80" s="166"/>
    </row>
    <row r="81" spans="2:28" x14ac:dyDescent="0.35">
      <c r="B81" s="224"/>
      <c r="C81" s="166"/>
      <c r="D81" s="166"/>
      <c r="E81" s="166"/>
      <c r="F81" s="166"/>
      <c r="G81" s="166"/>
      <c r="H81" s="166"/>
      <c r="I81" s="166"/>
      <c r="J81" s="166"/>
      <c r="K81" s="166"/>
      <c r="L81" s="166"/>
      <c r="M81" s="166"/>
      <c r="N81" s="166"/>
      <c r="O81" s="166"/>
      <c r="P81" s="166"/>
      <c r="Q81" s="166"/>
      <c r="R81" s="166"/>
      <c r="S81" s="166"/>
      <c r="T81" s="166"/>
      <c r="U81" s="166"/>
      <c r="V81" s="166"/>
      <c r="W81" s="166"/>
      <c r="X81" s="166"/>
      <c r="Y81" s="166"/>
      <c r="Z81" s="166"/>
      <c r="AA81" s="166"/>
      <c r="AB81" s="166"/>
    </row>
    <row r="82" spans="2:28" x14ac:dyDescent="0.35">
      <c r="B82" s="224"/>
      <c r="C82" s="166"/>
      <c r="D82" s="166"/>
      <c r="E82" s="166"/>
      <c r="F82" s="166"/>
      <c r="G82" s="166"/>
      <c r="H82" s="166"/>
      <c r="I82" s="166"/>
      <c r="J82" s="166"/>
      <c r="K82" s="166"/>
      <c r="L82" s="166"/>
      <c r="M82" s="166"/>
      <c r="N82" s="166"/>
      <c r="O82" s="166"/>
      <c r="P82" s="166"/>
      <c r="Q82" s="166"/>
      <c r="R82" s="166"/>
      <c r="S82" s="166"/>
      <c r="T82" s="166"/>
      <c r="U82" s="166"/>
      <c r="V82" s="166"/>
      <c r="W82" s="166"/>
      <c r="X82" s="166"/>
      <c r="Y82" s="166"/>
      <c r="Z82" s="166"/>
      <c r="AA82" s="166"/>
      <c r="AB82" s="166"/>
    </row>
    <row r="83" spans="2:28" x14ac:dyDescent="0.35">
      <c r="B83" s="224"/>
      <c r="C83" s="166"/>
      <c r="D83" s="166"/>
      <c r="E83" s="166"/>
      <c r="F83" s="166"/>
      <c r="G83" s="166"/>
      <c r="H83" s="166"/>
      <c r="I83" s="166"/>
      <c r="J83" s="166"/>
      <c r="K83" s="166"/>
      <c r="L83" s="166"/>
      <c r="M83" s="166"/>
      <c r="N83" s="166"/>
      <c r="O83" s="166"/>
      <c r="P83" s="166"/>
      <c r="Q83" s="166"/>
      <c r="R83" s="166"/>
      <c r="S83" s="166"/>
      <c r="T83" s="166"/>
      <c r="U83" s="166"/>
      <c r="V83" s="166"/>
      <c r="W83" s="166"/>
      <c r="X83" s="166"/>
      <c r="Y83" s="166"/>
      <c r="Z83" s="166"/>
      <c r="AA83" s="166"/>
      <c r="AB83" s="166"/>
    </row>
    <row r="84" spans="2:28" x14ac:dyDescent="0.35">
      <c r="B84" s="224"/>
      <c r="C84" s="166"/>
      <c r="D84" s="166"/>
      <c r="E84" s="166"/>
      <c r="F84" s="166"/>
      <c r="G84" s="166"/>
      <c r="H84" s="166"/>
      <c r="I84" s="166"/>
      <c r="J84" s="166"/>
      <c r="K84" s="166"/>
      <c r="L84" s="166"/>
      <c r="M84" s="166"/>
      <c r="N84" s="166"/>
      <c r="O84" s="166"/>
      <c r="P84" s="166"/>
      <c r="Q84" s="166"/>
      <c r="R84" s="166"/>
      <c r="S84" s="166"/>
      <c r="T84" s="166"/>
      <c r="U84" s="166"/>
      <c r="V84" s="166"/>
      <c r="W84" s="166"/>
      <c r="X84" s="166"/>
      <c r="Y84" s="166"/>
      <c r="Z84" s="166"/>
      <c r="AA84" s="166"/>
      <c r="AB84" s="166"/>
    </row>
    <row r="85" spans="2:28" x14ac:dyDescent="0.35">
      <c r="B85" s="224"/>
      <c r="C85" s="166"/>
      <c r="D85" s="166"/>
      <c r="E85" s="166"/>
      <c r="F85" s="166"/>
      <c r="G85" s="166"/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</row>
    <row r="86" spans="2:28" x14ac:dyDescent="0.35">
      <c r="B86" s="224"/>
      <c r="C86" s="166"/>
      <c r="D86" s="166"/>
      <c r="E86" s="166"/>
      <c r="F86" s="166"/>
      <c r="G86" s="166"/>
      <c r="H86" s="166"/>
      <c r="I86" s="166"/>
      <c r="J86" s="166"/>
      <c r="K86" s="166"/>
      <c r="L86" s="166"/>
      <c r="M86" s="166"/>
      <c r="N86" s="166"/>
      <c r="O86" s="166"/>
      <c r="P86" s="166"/>
      <c r="Q86" s="166"/>
      <c r="R86" s="166"/>
      <c r="S86" s="166"/>
      <c r="T86" s="166"/>
      <c r="U86" s="166"/>
      <c r="V86" s="166"/>
      <c r="W86" s="166"/>
      <c r="X86" s="166"/>
      <c r="Y86" s="166"/>
      <c r="Z86" s="166"/>
      <c r="AA86" s="166"/>
      <c r="AB86" s="166"/>
    </row>
    <row r="87" spans="2:28" x14ac:dyDescent="0.35">
      <c r="B87" s="224"/>
      <c r="C87" s="166"/>
      <c r="D87" s="166"/>
      <c r="E87" s="166"/>
      <c r="F87" s="166"/>
      <c r="G87" s="166"/>
      <c r="H87" s="166"/>
      <c r="I87" s="166"/>
      <c r="J87" s="166"/>
      <c r="K87" s="166"/>
      <c r="L87" s="166"/>
      <c r="M87" s="166"/>
      <c r="N87" s="166"/>
      <c r="O87" s="166"/>
      <c r="P87" s="166"/>
      <c r="Q87" s="166"/>
      <c r="R87" s="166"/>
      <c r="S87" s="166"/>
      <c r="T87" s="166"/>
      <c r="U87" s="166"/>
      <c r="V87" s="166"/>
      <c r="W87" s="166"/>
      <c r="X87" s="166"/>
      <c r="Y87" s="166"/>
      <c r="Z87" s="166"/>
      <c r="AA87" s="166"/>
      <c r="AB87" s="166"/>
    </row>
    <row r="88" spans="2:28" x14ac:dyDescent="0.35">
      <c r="B88" s="224"/>
      <c r="C88" s="166"/>
      <c r="D88" s="166"/>
      <c r="E88" s="166"/>
      <c r="F88" s="166"/>
      <c r="G88" s="166"/>
      <c r="H88" s="166"/>
      <c r="I88" s="166"/>
      <c r="J88" s="166"/>
      <c r="K88" s="166"/>
      <c r="L88" s="166"/>
      <c r="M88" s="166"/>
      <c r="N88" s="166"/>
      <c r="O88" s="166"/>
      <c r="P88" s="166"/>
      <c r="Q88" s="166"/>
      <c r="R88" s="166"/>
      <c r="S88" s="166"/>
      <c r="T88" s="166"/>
      <c r="U88" s="166"/>
      <c r="V88" s="166"/>
      <c r="W88" s="166"/>
      <c r="X88" s="166"/>
      <c r="Y88" s="166"/>
      <c r="Z88" s="166"/>
      <c r="AA88" s="166"/>
      <c r="AB88" s="166"/>
    </row>
    <row r="89" spans="2:28" x14ac:dyDescent="0.35">
      <c r="B89" s="224"/>
      <c r="C89" s="166"/>
      <c r="D89" s="166"/>
      <c r="E89" s="166"/>
      <c r="F89" s="166"/>
      <c r="G89" s="166"/>
      <c r="H89" s="166"/>
      <c r="I89" s="166"/>
      <c r="J89" s="166"/>
      <c r="K89" s="166"/>
      <c r="L89" s="166"/>
      <c r="M89" s="166"/>
      <c r="N89" s="166"/>
      <c r="O89" s="166"/>
      <c r="P89" s="166"/>
      <c r="Q89" s="166"/>
      <c r="R89" s="166"/>
      <c r="S89" s="166"/>
      <c r="T89" s="166"/>
      <c r="U89" s="166"/>
      <c r="V89" s="166"/>
      <c r="W89" s="166"/>
      <c r="X89" s="166"/>
      <c r="Y89" s="166"/>
      <c r="Z89" s="166"/>
      <c r="AA89" s="166"/>
      <c r="AB89" s="166"/>
    </row>
    <row r="90" spans="2:28" x14ac:dyDescent="0.35">
      <c r="B90" s="224"/>
      <c r="C90" s="166"/>
      <c r="D90" s="166"/>
      <c r="E90" s="166"/>
      <c r="F90" s="166"/>
      <c r="G90" s="166"/>
      <c r="H90" s="166"/>
      <c r="I90" s="166"/>
      <c r="J90" s="166"/>
      <c r="K90" s="166"/>
      <c r="L90" s="166"/>
      <c r="M90" s="166"/>
      <c r="N90" s="166"/>
      <c r="O90" s="166"/>
      <c r="P90" s="166"/>
      <c r="Q90" s="166"/>
      <c r="R90" s="166"/>
      <c r="S90" s="166"/>
      <c r="T90" s="166"/>
      <c r="U90" s="166"/>
      <c r="V90" s="166"/>
      <c r="W90" s="166"/>
      <c r="X90" s="166"/>
      <c r="Y90" s="166"/>
      <c r="Z90" s="166"/>
      <c r="AA90" s="166"/>
      <c r="AB90" s="166"/>
    </row>
    <row r="91" spans="2:28" x14ac:dyDescent="0.35">
      <c r="B91" s="224"/>
      <c r="C91" s="166"/>
      <c r="D91" s="166"/>
      <c r="E91" s="166"/>
      <c r="F91" s="166"/>
      <c r="G91" s="166"/>
      <c r="H91" s="166"/>
      <c r="I91" s="166"/>
      <c r="J91" s="166"/>
      <c r="K91" s="166"/>
      <c r="L91" s="166"/>
      <c r="M91" s="166"/>
      <c r="N91" s="166"/>
      <c r="O91" s="166"/>
      <c r="P91" s="166"/>
      <c r="Q91" s="166"/>
      <c r="R91" s="166"/>
      <c r="S91" s="166"/>
      <c r="T91" s="166"/>
      <c r="U91" s="166"/>
      <c r="V91" s="166"/>
      <c r="W91" s="166"/>
      <c r="X91" s="166"/>
      <c r="Y91" s="166"/>
      <c r="Z91" s="166"/>
      <c r="AA91" s="166"/>
      <c r="AB91" s="166"/>
    </row>
    <row r="92" spans="2:28" x14ac:dyDescent="0.35">
      <c r="B92" s="224"/>
      <c r="C92" s="166"/>
      <c r="D92" s="166"/>
      <c r="E92" s="166"/>
      <c r="F92" s="166"/>
      <c r="G92" s="166"/>
      <c r="H92" s="166"/>
      <c r="I92" s="166"/>
      <c r="J92" s="166"/>
      <c r="K92" s="166"/>
      <c r="L92" s="166"/>
      <c r="M92" s="166"/>
      <c r="N92" s="166"/>
      <c r="O92" s="166"/>
      <c r="P92" s="166"/>
      <c r="Q92" s="166"/>
      <c r="R92" s="166"/>
      <c r="S92" s="166"/>
      <c r="T92" s="166"/>
      <c r="U92" s="166"/>
      <c r="V92" s="166"/>
      <c r="W92" s="166"/>
      <c r="X92" s="166"/>
      <c r="Y92" s="166"/>
      <c r="Z92" s="166"/>
      <c r="AA92" s="166"/>
      <c r="AB92" s="166"/>
    </row>
    <row r="93" spans="2:28" x14ac:dyDescent="0.35">
      <c r="B93" s="224"/>
      <c r="C93" s="166"/>
      <c r="D93" s="166"/>
      <c r="E93" s="166"/>
      <c r="F93" s="166"/>
      <c r="G93" s="166"/>
      <c r="H93" s="166"/>
      <c r="I93" s="166"/>
      <c r="J93" s="166"/>
      <c r="K93" s="166"/>
      <c r="L93" s="166"/>
      <c r="M93" s="166"/>
      <c r="N93" s="166"/>
      <c r="O93" s="166"/>
      <c r="P93" s="166"/>
      <c r="Q93" s="166"/>
      <c r="R93" s="166"/>
      <c r="S93" s="166"/>
      <c r="T93" s="166"/>
      <c r="U93" s="166"/>
      <c r="V93" s="166"/>
      <c r="W93" s="166"/>
      <c r="X93" s="166"/>
      <c r="Y93" s="166"/>
      <c r="Z93" s="166"/>
      <c r="AA93" s="166"/>
      <c r="AB93" s="166"/>
    </row>
    <row r="94" spans="2:28" x14ac:dyDescent="0.35">
      <c r="B94" s="224"/>
      <c r="C94" s="166"/>
      <c r="D94" s="166"/>
      <c r="E94" s="166"/>
      <c r="F94" s="166"/>
      <c r="G94" s="166"/>
      <c r="H94" s="166"/>
      <c r="I94" s="166"/>
      <c r="J94" s="166"/>
      <c r="K94" s="166"/>
      <c r="L94" s="166"/>
      <c r="M94" s="166"/>
      <c r="N94" s="166"/>
      <c r="O94" s="166"/>
      <c r="P94" s="166"/>
      <c r="Q94" s="166"/>
      <c r="R94" s="166"/>
      <c r="S94" s="166"/>
      <c r="T94" s="166"/>
      <c r="U94" s="166"/>
      <c r="V94" s="166"/>
      <c r="W94" s="166"/>
      <c r="X94" s="166"/>
      <c r="Y94" s="166"/>
      <c r="Z94" s="166"/>
      <c r="AA94" s="166"/>
      <c r="AB94" s="166"/>
    </row>
    <row r="95" spans="2:28" x14ac:dyDescent="0.35">
      <c r="B95" s="224"/>
      <c r="C95" s="166"/>
      <c r="D95" s="166"/>
      <c r="E95" s="166"/>
      <c r="F95" s="166"/>
      <c r="G95" s="166"/>
      <c r="H95" s="166"/>
      <c r="I95" s="166"/>
      <c r="J95" s="166"/>
      <c r="K95" s="166"/>
      <c r="L95" s="166"/>
      <c r="M95" s="166"/>
      <c r="N95" s="166"/>
      <c r="O95" s="166"/>
      <c r="P95" s="166"/>
      <c r="Q95" s="166"/>
      <c r="R95" s="166"/>
      <c r="S95" s="166"/>
      <c r="T95" s="166"/>
      <c r="U95" s="166"/>
      <c r="V95" s="166"/>
      <c r="W95" s="166"/>
      <c r="X95" s="166"/>
      <c r="Y95" s="166"/>
      <c r="Z95" s="166"/>
      <c r="AA95" s="166"/>
      <c r="AB95" s="166"/>
    </row>
    <row r="96" spans="2:28" x14ac:dyDescent="0.35">
      <c r="B96" s="224"/>
      <c r="C96" s="166"/>
      <c r="D96" s="166"/>
      <c r="E96" s="166"/>
      <c r="F96" s="166"/>
      <c r="G96" s="166"/>
      <c r="H96" s="166"/>
      <c r="I96" s="166"/>
      <c r="J96" s="166"/>
      <c r="K96" s="166"/>
      <c r="L96" s="166"/>
      <c r="M96" s="166"/>
      <c r="N96" s="166"/>
      <c r="O96" s="166"/>
      <c r="P96" s="166"/>
      <c r="Q96" s="166"/>
      <c r="R96" s="166"/>
      <c r="S96" s="166"/>
      <c r="T96" s="166"/>
      <c r="U96" s="166"/>
      <c r="V96" s="166"/>
      <c r="W96" s="166"/>
      <c r="X96" s="166"/>
      <c r="Y96" s="166"/>
      <c r="Z96" s="166"/>
      <c r="AA96" s="166"/>
      <c r="AB96" s="166"/>
    </row>
    <row r="97" spans="2:28" x14ac:dyDescent="0.35">
      <c r="B97" s="224"/>
      <c r="C97" s="166"/>
      <c r="D97" s="166"/>
      <c r="E97" s="166"/>
      <c r="F97" s="166"/>
      <c r="G97" s="166"/>
      <c r="H97" s="166"/>
      <c r="I97" s="166"/>
      <c r="J97" s="166"/>
      <c r="K97" s="166"/>
      <c r="L97" s="166"/>
      <c r="M97" s="166"/>
      <c r="N97" s="166"/>
      <c r="O97" s="166"/>
      <c r="P97" s="166"/>
      <c r="Q97" s="166"/>
      <c r="R97" s="166"/>
      <c r="S97" s="166"/>
      <c r="T97" s="166"/>
      <c r="U97" s="166"/>
      <c r="V97" s="166"/>
      <c r="W97" s="166"/>
      <c r="X97" s="166"/>
      <c r="Y97" s="166"/>
      <c r="Z97" s="166"/>
      <c r="AA97" s="166"/>
      <c r="AB97" s="166"/>
    </row>
    <row r="98" spans="2:28" x14ac:dyDescent="0.35">
      <c r="B98" s="224"/>
      <c r="C98" s="166"/>
      <c r="D98" s="166"/>
      <c r="E98" s="166"/>
      <c r="F98" s="166"/>
      <c r="G98" s="166"/>
      <c r="H98" s="166"/>
      <c r="I98" s="166"/>
      <c r="J98" s="166"/>
      <c r="K98" s="166"/>
      <c r="L98" s="166"/>
      <c r="M98" s="166"/>
      <c r="N98" s="166"/>
      <c r="O98" s="166"/>
      <c r="P98" s="166"/>
      <c r="Q98" s="166"/>
      <c r="R98" s="166"/>
      <c r="S98" s="166"/>
      <c r="T98" s="166"/>
      <c r="U98" s="166"/>
      <c r="V98" s="166"/>
      <c r="W98" s="166"/>
      <c r="X98" s="166"/>
      <c r="Y98" s="166"/>
      <c r="Z98" s="166"/>
      <c r="AA98" s="166"/>
      <c r="AB98" s="166"/>
    </row>
    <row r="99" spans="2:28" x14ac:dyDescent="0.35">
      <c r="B99" s="224"/>
      <c r="C99" s="166"/>
      <c r="D99" s="166"/>
      <c r="E99" s="166"/>
      <c r="F99" s="166"/>
      <c r="G99" s="166"/>
      <c r="H99" s="166"/>
      <c r="I99" s="166"/>
      <c r="J99" s="166"/>
      <c r="K99" s="166"/>
      <c r="L99" s="166"/>
      <c r="M99" s="166"/>
      <c r="N99" s="166"/>
      <c r="O99" s="166"/>
      <c r="P99" s="166"/>
      <c r="Q99" s="166"/>
      <c r="R99" s="166"/>
      <c r="S99" s="166"/>
      <c r="T99" s="166"/>
      <c r="U99" s="166"/>
      <c r="V99" s="166"/>
      <c r="W99" s="166"/>
      <c r="X99" s="166"/>
      <c r="Y99" s="166"/>
      <c r="Z99" s="166"/>
      <c r="AA99" s="166"/>
      <c r="AB99" s="166"/>
    </row>
    <row r="100" spans="2:28" x14ac:dyDescent="0.35">
      <c r="B100" s="224"/>
      <c r="C100" s="166"/>
      <c r="D100" s="166"/>
      <c r="E100" s="166"/>
      <c r="F100" s="166"/>
      <c r="G100" s="166"/>
      <c r="H100" s="166"/>
      <c r="I100" s="166"/>
      <c r="J100" s="166"/>
      <c r="K100" s="166"/>
      <c r="L100" s="166"/>
      <c r="M100" s="166"/>
      <c r="N100" s="166"/>
      <c r="O100" s="166"/>
      <c r="P100" s="166"/>
      <c r="Q100" s="166"/>
      <c r="R100" s="166"/>
      <c r="S100" s="166"/>
      <c r="T100" s="166"/>
      <c r="U100" s="166"/>
      <c r="V100" s="166"/>
      <c r="W100" s="166"/>
      <c r="X100" s="166"/>
      <c r="Y100" s="166"/>
      <c r="Z100" s="166"/>
      <c r="AA100" s="166"/>
      <c r="AB100" s="166"/>
    </row>
    <row r="101" spans="2:28" x14ac:dyDescent="0.35">
      <c r="B101" s="224"/>
      <c r="C101" s="166"/>
      <c r="D101" s="166"/>
      <c r="E101" s="166"/>
      <c r="F101" s="166"/>
      <c r="G101" s="166"/>
      <c r="H101" s="166"/>
      <c r="I101" s="166"/>
      <c r="J101" s="166"/>
      <c r="K101" s="166"/>
      <c r="L101" s="166"/>
      <c r="M101" s="166"/>
      <c r="N101" s="166"/>
      <c r="O101" s="166"/>
      <c r="P101" s="166"/>
      <c r="Q101" s="166"/>
      <c r="R101" s="166"/>
      <c r="S101" s="166"/>
      <c r="T101" s="166"/>
      <c r="U101" s="166"/>
      <c r="V101" s="166"/>
      <c r="W101" s="166"/>
      <c r="X101" s="166"/>
      <c r="Y101" s="166"/>
      <c r="Z101" s="166"/>
      <c r="AA101" s="166"/>
      <c r="AB101" s="166"/>
    </row>
    <row r="102" spans="2:28" x14ac:dyDescent="0.35">
      <c r="B102" s="224"/>
      <c r="C102" s="166"/>
      <c r="D102" s="166"/>
      <c r="E102" s="166"/>
      <c r="F102" s="166"/>
      <c r="G102" s="166"/>
      <c r="H102" s="166"/>
      <c r="I102" s="166"/>
      <c r="J102" s="166"/>
      <c r="K102" s="166"/>
      <c r="L102" s="166"/>
      <c r="M102" s="166"/>
      <c r="N102" s="166"/>
      <c r="O102" s="166"/>
      <c r="P102" s="166"/>
      <c r="Q102" s="166"/>
      <c r="R102" s="166"/>
      <c r="S102" s="166"/>
      <c r="T102" s="166"/>
      <c r="U102" s="166"/>
      <c r="V102" s="166"/>
      <c r="W102" s="166"/>
      <c r="X102" s="166"/>
      <c r="Y102" s="166"/>
      <c r="Z102" s="166"/>
      <c r="AA102" s="166"/>
      <c r="AB102" s="166"/>
    </row>
    <row r="103" spans="2:28" x14ac:dyDescent="0.35">
      <c r="B103" s="224"/>
      <c r="C103" s="166"/>
      <c r="D103" s="166"/>
      <c r="E103" s="166"/>
      <c r="F103" s="166"/>
      <c r="G103" s="166"/>
      <c r="H103" s="166"/>
      <c r="I103" s="166"/>
      <c r="J103" s="166"/>
      <c r="K103" s="166"/>
      <c r="L103" s="166"/>
      <c r="M103" s="166"/>
      <c r="N103" s="166"/>
      <c r="O103" s="166"/>
      <c r="P103" s="166"/>
      <c r="Q103" s="166"/>
      <c r="R103" s="166"/>
      <c r="S103" s="166"/>
      <c r="T103" s="166"/>
      <c r="U103" s="166"/>
      <c r="V103" s="166"/>
      <c r="W103" s="166"/>
      <c r="X103" s="166"/>
      <c r="Y103" s="166"/>
      <c r="Z103" s="166"/>
      <c r="AA103" s="166"/>
      <c r="AB103" s="166"/>
    </row>
    <row r="104" spans="2:28" x14ac:dyDescent="0.35">
      <c r="B104" s="224"/>
      <c r="C104" s="166"/>
      <c r="D104" s="166"/>
      <c r="E104" s="166"/>
      <c r="F104" s="166"/>
      <c r="G104" s="166"/>
      <c r="H104" s="166"/>
      <c r="I104" s="166"/>
      <c r="J104" s="166"/>
      <c r="K104" s="166"/>
      <c r="L104" s="166"/>
      <c r="M104" s="166"/>
      <c r="N104" s="166"/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  <c r="AB104" s="166"/>
    </row>
    <row r="105" spans="2:28" x14ac:dyDescent="0.35">
      <c r="B105" s="224"/>
      <c r="C105" s="166"/>
      <c r="D105" s="166"/>
      <c r="E105" s="166"/>
      <c r="F105" s="166"/>
      <c r="G105" s="166"/>
      <c r="H105" s="166"/>
      <c r="I105" s="166"/>
      <c r="J105" s="166"/>
      <c r="K105" s="166"/>
      <c r="L105" s="166"/>
      <c r="M105" s="166"/>
      <c r="N105" s="166"/>
      <c r="O105" s="166"/>
      <c r="P105" s="166"/>
      <c r="Q105" s="166"/>
      <c r="R105" s="166"/>
      <c r="S105" s="166"/>
      <c r="T105" s="166"/>
      <c r="U105" s="166"/>
      <c r="V105" s="166"/>
      <c r="W105" s="166"/>
      <c r="X105" s="166"/>
      <c r="Y105" s="166"/>
      <c r="Z105" s="166"/>
      <c r="AA105" s="166"/>
      <c r="AB105" s="166"/>
    </row>
    <row r="106" spans="2:28" x14ac:dyDescent="0.35">
      <c r="B106" s="224"/>
      <c r="C106" s="166"/>
      <c r="D106" s="166"/>
      <c r="E106" s="166"/>
      <c r="F106" s="166"/>
      <c r="G106" s="166"/>
      <c r="H106" s="166"/>
      <c r="I106" s="166"/>
      <c r="J106" s="166"/>
      <c r="K106" s="166"/>
      <c r="L106" s="166"/>
      <c r="M106" s="166"/>
      <c r="N106" s="166"/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</row>
    <row r="107" spans="2:28" x14ac:dyDescent="0.35">
      <c r="B107" s="224"/>
      <c r="C107" s="166"/>
      <c r="D107" s="166"/>
      <c r="E107" s="166"/>
      <c r="F107" s="166"/>
      <c r="G107" s="166"/>
      <c r="H107" s="166"/>
      <c r="I107" s="166"/>
      <c r="J107" s="166"/>
      <c r="K107" s="166"/>
      <c r="L107" s="166"/>
      <c r="M107" s="166"/>
      <c r="N107" s="166"/>
      <c r="O107" s="166"/>
      <c r="P107" s="166"/>
      <c r="Q107" s="166"/>
      <c r="R107" s="166"/>
      <c r="S107" s="166"/>
      <c r="T107" s="166"/>
      <c r="U107" s="166"/>
      <c r="V107" s="166"/>
      <c r="W107" s="166"/>
      <c r="X107" s="166"/>
      <c r="Y107" s="166"/>
      <c r="Z107" s="166"/>
      <c r="AA107" s="166"/>
      <c r="AB107" s="166"/>
    </row>
    <row r="108" spans="2:28" x14ac:dyDescent="0.35">
      <c r="B108" s="224"/>
      <c r="C108" s="166"/>
      <c r="D108" s="166"/>
      <c r="E108" s="166"/>
      <c r="F108" s="166"/>
      <c r="G108" s="166"/>
      <c r="H108" s="166"/>
      <c r="I108" s="166"/>
      <c r="J108" s="166"/>
      <c r="K108" s="166"/>
      <c r="L108" s="166"/>
      <c r="M108" s="166"/>
      <c r="N108" s="166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</row>
    <row r="109" spans="2:28" x14ac:dyDescent="0.35">
      <c r="B109" s="224"/>
      <c r="C109" s="166"/>
      <c r="D109" s="166"/>
      <c r="E109" s="166"/>
      <c r="F109" s="166"/>
      <c r="G109" s="166"/>
      <c r="H109" s="166"/>
      <c r="I109" s="166"/>
      <c r="J109" s="166"/>
      <c r="K109" s="166"/>
      <c r="L109" s="166"/>
      <c r="M109" s="166"/>
      <c r="N109" s="166"/>
      <c r="O109" s="166"/>
      <c r="P109" s="166"/>
      <c r="Q109" s="166"/>
      <c r="R109" s="166"/>
      <c r="S109" s="166"/>
      <c r="T109" s="166"/>
      <c r="U109" s="166"/>
      <c r="V109" s="166"/>
      <c r="W109" s="166"/>
      <c r="X109" s="166"/>
      <c r="Y109" s="166"/>
      <c r="Z109" s="166"/>
      <c r="AA109" s="166"/>
      <c r="AB109" s="166"/>
    </row>
    <row r="110" spans="2:28" x14ac:dyDescent="0.35">
      <c r="B110" s="224"/>
      <c r="C110" s="166"/>
      <c r="D110" s="166"/>
      <c r="E110" s="166"/>
      <c r="F110" s="166"/>
      <c r="G110" s="166"/>
      <c r="H110" s="166"/>
      <c r="I110" s="166"/>
      <c r="J110" s="166"/>
      <c r="K110" s="166"/>
      <c r="L110" s="166"/>
      <c r="M110" s="166"/>
      <c r="N110" s="166"/>
      <c r="O110" s="166"/>
      <c r="P110" s="166"/>
      <c r="Q110" s="166"/>
      <c r="R110" s="166"/>
      <c r="S110" s="166"/>
      <c r="T110" s="166"/>
      <c r="U110" s="166"/>
      <c r="V110" s="166"/>
      <c r="W110" s="166"/>
      <c r="X110" s="166"/>
      <c r="Y110" s="166"/>
      <c r="Z110" s="166"/>
      <c r="AA110" s="166"/>
      <c r="AB110" s="166"/>
    </row>
    <row r="111" spans="2:28" x14ac:dyDescent="0.35">
      <c r="B111" s="224"/>
      <c r="C111" s="166"/>
      <c r="D111" s="166"/>
      <c r="E111" s="166"/>
      <c r="F111" s="166"/>
      <c r="G111" s="166"/>
      <c r="H111" s="166"/>
      <c r="I111" s="166"/>
      <c r="J111" s="166"/>
      <c r="K111" s="166"/>
      <c r="L111" s="166"/>
      <c r="M111" s="166"/>
      <c r="N111" s="166"/>
      <c r="O111" s="166"/>
      <c r="P111" s="166"/>
      <c r="Q111" s="166"/>
      <c r="R111" s="166"/>
      <c r="S111" s="166"/>
      <c r="T111" s="166"/>
      <c r="U111" s="166"/>
      <c r="V111" s="166"/>
      <c r="W111" s="166"/>
      <c r="X111" s="166"/>
      <c r="Y111" s="166"/>
      <c r="Z111" s="166"/>
      <c r="AA111" s="166"/>
      <c r="AB111" s="166"/>
    </row>
    <row r="112" spans="2:28" x14ac:dyDescent="0.35">
      <c r="B112" s="224"/>
      <c r="C112" s="166"/>
      <c r="D112" s="166"/>
      <c r="E112" s="166"/>
      <c r="F112" s="166"/>
      <c r="G112" s="166"/>
      <c r="H112" s="166"/>
      <c r="I112" s="166"/>
      <c r="J112" s="166"/>
      <c r="K112" s="166"/>
      <c r="L112" s="166"/>
      <c r="M112" s="166"/>
      <c r="N112" s="166"/>
      <c r="O112" s="166"/>
      <c r="P112" s="166"/>
      <c r="Q112" s="166"/>
      <c r="R112" s="166"/>
      <c r="S112" s="166"/>
      <c r="T112" s="166"/>
      <c r="U112" s="166"/>
      <c r="V112" s="166"/>
      <c r="W112" s="166"/>
      <c r="X112" s="166"/>
      <c r="Y112" s="166"/>
      <c r="Z112" s="166"/>
      <c r="AA112" s="166"/>
      <c r="AB112" s="166"/>
    </row>
    <row r="113" spans="2:28" x14ac:dyDescent="0.35">
      <c r="B113" s="224"/>
      <c r="C113" s="166"/>
      <c r="D113" s="166"/>
      <c r="E113" s="166"/>
      <c r="F113" s="166"/>
      <c r="G113" s="166"/>
      <c r="H113" s="166"/>
      <c r="I113" s="166"/>
      <c r="J113" s="166"/>
      <c r="K113" s="166"/>
      <c r="L113" s="166"/>
      <c r="M113" s="166"/>
      <c r="N113" s="166"/>
      <c r="O113" s="166"/>
      <c r="P113" s="166"/>
      <c r="Q113" s="166"/>
      <c r="R113" s="166"/>
      <c r="S113" s="166"/>
      <c r="T113" s="166"/>
      <c r="U113" s="166"/>
      <c r="V113" s="166"/>
      <c r="W113" s="166"/>
      <c r="X113" s="166"/>
      <c r="Y113" s="166"/>
      <c r="Z113" s="166"/>
      <c r="AA113" s="166"/>
      <c r="AB113" s="166"/>
    </row>
    <row r="114" spans="2:28" x14ac:dyDescent="0.35">
      <c r="B114" s="224"/>
      <c r="C114" s="166"/>
      <c r="D114" s="166"/>
      <c r="E114" s="166"/>
      <c r="F114" s="166"/>
      <c r="G114" s="166"/>
      <c r="H114" s="166"/>
      <c r="I114" s="166"/>
      <c r="J114" s="166"/>
      <c r="K114" s="166"/>
      <c r="L114" s="166"/>
      <c r="M114" s="166"/>
      <c r="N114" s="166"/>
      <c r="O114" s="166"/>
      <c r="P114" s="166"/>
      <c r="Q114" s="166"/>
      <c r="R114" s="166"/>
      <c r="S114" s="166"/>
      <c r="T114" s="166"/>
      <c r="U114" s="166"/>
      <c r="V114" s="166"/>
      <c r="W114" s="166"/>
      <c r="X114" s="166"/>
      <c r="Y114" s="166"/>
      <c r="Z114" s="166"/>
      <c r="AA114" s="166"/>
      <c r="AB114" s="166"/>
    </row>
  </sheetData>
  <phoneticPr fontId="1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0BF12-DA13-EE46-8EEB-D02BFADEA883}">
  <sheetPr>
    <tabColor theme="5" tint="0.39997558519241921"/>
  </sheetPr>
  <dimension ref="A1:AD75"/>
  <sheetViews>
    <sheetView zoomScaleNormal="100" workbookViewId="0">
      <pane xSplit="3" ySplit="1" topLeftCell="D26" activePane="bottomRight" state="frozen"/>
      <selection activeCell="N25" sqref="N25"/>
      <selection pane="topRight" activeCell="N25" sqref="N25"/>
      <selection pane="bottomLeft" activeCell="N25" sqref="N25"/>
      <selection pane="bottomRight" activeCell="A2" sqref="A2"/>
    </sheetView>
  </sheetViews>
  <sheetFormatPr defaultColWidth="10.7265625" defaultRowHeight="14.5" x14ac:dyDescent="0.35"/>
  <cols>
    <col min="1" max="1" width="11" customWidth="1"/>
    <col min="2" max="2" width="11" hidden="1" customWidth="1"/>
    <col min="3" max="3" width="10.6328125" style="235" customWidth="1"/>
    <col min="4" max="4" width="7.26953125" style="15" bestFit="1" customWidth="1"/>
    <col min="5" max="5" width="8.7265625" style="16" bestFit="1" customWidth="1"/>
    <col min="6" max="6" width="8.54296875" style="16" bestFit="1" customWidth="1"/>
    <col min="7" max="7" width="6.7265625" style="16" bestFit="1" customWidth="1"/>
    <col min="8" max="8" width="9.6328125" style="16" bestFit="1" customWidth="1"/>
    <col min="9" max="9" width="8.81640625" style="16" bestFit="1" customWidth="1"/>
    <col min="10" max="10" width="8.08984375" style="16" bestFit="1" customWidth="1"/>
    <col min="11" max="11" width="10.26953125" style="16" bestFit="1" customWidth="1"/>
    <col min="12" max="12" width="10" style="16" bestFit="1" customWidth="1"/>
    <col min="13" max="13" width="8.36328125" style="16" bestFit="1" customWidth="1"/>
    <col min="14" max="15" width="5.54296875" style="16" bestFit="1" customWidth="1"/>
    <col min="16" max="16" width="6.81640625" style="16" bestFit="1" customWidth="1"/>
    <col min="17" max="17" width="6.90625" style="16" bestFit="1" customWidth="1"/>
    <col min="18" max="18" width="8" style="16" bestFit="1" customWidth="1"/>
    <col min="19" max="19" width="10.81640625" style="16" bestFit="1" customWidth="1"/>
    <col min="20" max="21" width="11.54296875" style="16" bestFit="1" customWidth="1"/>
    <col min="22" max="22" width="7.08984375" style="16" bestFit="1" customWidth="1"/>
    <col min="23" max="23" width="7.81640625" style="16" bestFit="1" customWidth="1"/>
    <col min="24" max="24" width="8.81640625" style="16" bestFit="1" customWidth="1"/>
    <col min="25" max="25" width="12.1796875" style="16" bestFit="1" customWidth="1"/>
    <col min="26" max="26" width="12" style="14" bestFit="1" customWidth="1"/>
    <col min="27" max="27" width="7.26953125" style="14" bestFit="1" customWidth="1"/>
    <col min="28" max="28" width="9.36328125" style="14" bestFit="1" customWidth="1"/>
    <col min="29" max="29" width="5.6328125" style="14" bestFit="1" customWidth="1"/>
    <col min="30" max="30" width="9.453125" style="160" customWidth="1"/>
    <col min="31" max="31" width="6.81640625" style="15" bestFit="1" customWidth="1"/>
    <col min="32" max="48" width="5.54296875" style="15" bestFit="1" customWidth="1"/>
    <col min="49" max="16384" width="10.7265625" style="15"/>
  </cols>
  <sheetData>
    <row r="1" spans="1:30" s="5" customFormat="1" ht="33" customHeight="1" x14ac:dyDescent="0.35">
      <c r="A1" s="253" t="s">
        <v>11</v>
      </c>
      <c r="B1" s="253" t="s">
        <v>144</v>
      </c>
      <c r="C1" s="254" t="s">
        <v>16</v>
      </c>
      <c r="D1" s="253" t="s">
        <v>64</v>
      </c>
      <c r="E1" s="253" t="s">
        <v>65</v>
      </c>
      <c r="F1" s="253" t="s">
        <v>66</v>
      </c>
      <c r="G1" s="253" t="s">
        <v>67</v>
      </c>
      <c r="H1" s="253" t="s">
        <v>68</v>
      </c>
      <c r="I1" s="253" t="s">
        <v>69</v>
      </c>
      <c r="J1" s="253" t="s">
        <v>175</v>
      </c>
      <c r="K1" s="253" t="s">
        <v>171</v>
      </c>
      <c r="L1" s="253" t="s">
        <v>70</v>
      </c>
      <c r="M1" s="253" t="s">
        <v>71</v>
      </c>
      <c r="N1" s="253" t="s">
        <v>72</v>
      </c>
      <c r="O1" s="253" t="s">
        <v>73</v>
      </c>
      <c r="P1" s="253" t="s">
        <v>74</v>
      </c>
      <c r="Q1" s="253" t="s">
        <v>75</v>
      </c>
      <c r="R1" s="253" t="s">
        <v>76</v>
      </c>
      <c r="S1" s="253" t="s">
        <v>178</v>
      </c>
      <c r="T1" s="253" t="s">
        <v>162</v>
      </c>
      <c r="U1" s="253" t="s">
        <v>163</v>
      </c>
      <c r="V1" s="253" t="s">
        <v>124</v>
      </c>
      <c r="W1" s="253" t="s">
        <v>77</v>
      </c>
      <c r="X1" s="253" t="s">
        <v>172</v>
      </c>
      <c r="Y1" s="253" t="s">
        <v>78</v>
      </c>
      <c r="Z1" s="253" t="s">
        <v>79</v>
      </c>
      <c r="AA1" s="253" t="s">
        <v>161</v>
      </c>
      <c r="AB1" s="253" t="s">
        <v>80</v>
      </c>
      <c r="AC1" s="253" t="s">
        <v>81</v>
      </c>
      <c r="AD1" s="262" t="s">
        <v>83</v>
      </c>
    </row>
    <row r="2" spans="1:30" ht="16" customHeight="1" x14ac:dyDescent="0.35">
      <c r="A2" s="225">
        <f>Fixtures[[#This Row],[Date]]</f>
        <v>46271</v>
      </c>
      <c r="B2" s="220">
        <f>Match_Attendance[[#This Row],[Date]]</f>
        <v>46271</v>
      </c>
      <c r="C2" s="234" t="str">
        <f>Fixtures[[#This Row],[Opposition]]</f>
        <v>DAN</v>
      </c>
      <c r="D2" s="213" t="b">
        <v>0</v>
      </c>
      <c r="E2" s="213" t="b">
        <v>0</v>
      </c>
      <c r="F2" s="213" t="b">
        <v>0</v>
      </c>
      <c r="G2" s="213" t="b">
        <v>0</v>
      </c>
      <c r="H2" s="213" t="b">
        <v>0</v>
      </c>
      <c r="I2" s="213" t="b">
        <v>0</v>
      </c>
      <c r="J2" s="213" t="b">
        <v>0</v>
      </c>
      <c r="K2" s="213" t="b">
        <v>0</v>
      </c>
      <c r="L2" s="213" t="b">
        <v>0</v>
      </c>
      <c r="M2" s="213" t="b">
        <v>0</v>
      </c>
      <c r="N2" s="213" t="b">
        <v>0</v>
      </c>
      <c r="O2" s="213" t="b">
        <v>0</v>
      </c>
      <c r="P2" s="213" t="b">
        <v>0</v>
      </c>
      <c r="Q2" s="213" t="b">
        <v>0</v>
      </c>
      <c r="R2" s="213" t="b">
        <v>0</v>
      </c>
      <c r="S2" s="213" t="b">
        <v>0</v>
      </c>
      <c r="T2" s="213" t="b">
        <v>0</v>
      </c>
      <c r="U2" s="213" t="b">
        <v>0</v>
      </c>
      <c r="V2" s="213" t="b">
        <v>0</v>
      </c>
      <c r="W2" s="213" t="b">
        <v>0</v>
      </c>
      <c r="X2" s="213" t="b">
        <v>0</v>
      </c>
      <c r="Y2" s="213" t="b">
        <v>0</v>
      </c>
      <c r="Z2" s="213" t="b">
        <v>0</v>
      </c>
      <c r="AA2" s="213" t="b">
        <v>0</v>
      </c>
      <c r="AB2" s="213" t="b">
        <v>0</v>
      </c>
      <c r="AC2" s="213" t="b">
        <v>0</v>
      </c>
      <c r="AD2" s="246">
        <f>COUNTIF(Match_Attendance[[#This Row],[Alf M]:[Ronnie D]],"Y")</f>
        <v>0</v>
      </c>
    </row>
    <row r="3" spans="1:30" ht="16" customHeight="1" x14ac:dyDescent="0.35">
      <c r="A3" s="225">
        <f>Fixtures[[#This Row],[Date]]</f>
        <v>46278</v>
      </c>
      <c r="B3" s="220">
        <f>Match_Attendance[[#This Row],[Date]]</f>
        <v>46278</v>
      </c>
      <c r="C3" s="234">
        <f>Fixtures[[#This Row],[Opposition]]</f>
        <v>0</v>
      </c>
      <c r="D3" s="213" t="b">
        <v>0</v>
      </c>
      <c r="E3" s="213" t="b">
        <v>0</v>
      </c>
      <c r="F3" s="213" t="b">
        <v>0</v>
      </c>
      <c r="G3" s="213" t="b">
        <v>0</v>
      </c>
      <c r="H3" s="213" t="b">
        <v>0</v>
      </c>
      <c r="I3" s="213" t="b">
        <v>0</v>
      </c>
      <c r="J3" s="213" t="b">
        <v>0</v>
      </c>
      <c r="K3" s="213" t="b">
        <v>0</v>
      </c>
      <c r="L3" s="213" t="b">
        <v>0</v>
      </c>
      <c r="M3" s="213" t="b">
        <v>0</v>
      </c>
      <c r="N3" s="213" t="b">
        <v>0</v>
      </c>
      <c r="O3" s="213" t="b">
        <v>0</v>
      </c>
      <c r="P3" s="213" t="b">
        <v>0</v>
      </c>
      <c r="Q3" s="213" t="b">
        <v>0</v>
      </c>
      <c r="R3" s="213" t="b">
        <v>0</v>
      </c>
      <c r="S3" s="213" t="b">
        <v>0</v>
      </c>
      <c r="T3" s="213" t="b">
        <v>0</v>
      </c>
      <c r="U3" s="213" t="b">
        <v>0</v>
      </c>
      <c r="V3" s="213" t="b">
        <v>0</v>
      </c>
      <c r="W3" s="213" t="b">
        <v>0</v>
      </c>
      <c r="X3" s="213" t="b">
        <v>0</v>
      </c>
      <c r="Y3" s="213" t="b">
        <v>0</v>
      </c>
      <c r="Z3" s="213" t="b">
        <v>0</v>
      </c>
      <c r="AA3" s="213" t="b">
        <v>0</v>
      </c>
      <c r="AB3" s="213" t="b">
        <v>0</v>
      </c>
      <c r="AC3" s="213" t="b">
        <v>0</v>
      </c>
      <c r="AD3" s="246">
        <f>COUNTIF(Match_Attendance[[#This Row],[Alf M]:[Ronnie D]],"Y")</f>
        <v>0</v>
      </c>
    </row>
    <row r="4" spans="1:30" ht="16" customHeight="1" x14ac:dyDescent="0.35">
      <c r="A4" s="225">
        <f>Fixtures[[#This Row],[Date]]</f>
        <v>46285</v>
      </c>
      <c r="B4" s="220">
        <f>Match_Attendance[[#This Row],[Date]]</f>
        <v>46285</v>
      </c>
      <c r="C4" s="234">
        <f>Fixtures[[#This Row],[Opposition]]</f>
        <v>0</v>
      </c>
      <c r="D4" s="213" t="b">
        <v>0</v>
      </c>
      <c r="E4" s="213" t="b">
        <v>0</v>
      </c>
      <c r="F4" s="213" t="b">
        <v>0</v>
      </c>
      <c r="G4" s="213" t="b">
        <v>0</v>
      </c>
      <c r="H4" s="213" t="b">
        <v>0</v>
      </c>
      <c r="I4" s="213" t="b">
        <v>0</v>
      </c>
      <c r="J4" s="213" t="b">
        <v>0</v>
      </c>
      <c r="K4" s="213" t="b">
        <v>0</v>
      </c>
      <c r="L4" s="213" t="b">
        <v>0</v>
      </c>
      <c r="M4" s="213" t="b">
        <v>0</v>
      </c>
      <c r="N4" s="213" t="b">
        <v>0</v>
      </c>
      <c r="O4" s="213" t="b">
        <v>0</v>
      </c>
      <c r="P4" s="213" t="b">
        <v>0</v>
      </c>
      <c r="Q4" s="213" t="b">
        <v>0</v>
      </c>
      <c r="R4" s="213" t="b">
        <v>0</v>
      </c>
      <c r="S4" s="213" t="b">
        <v>0</v>
      </c>
      <c r="T4" s="213" t="b">
        <v>0</v>
      </c>
      <c r="U4" s="213" t="b">
        <v>0</v>
      </c>
      <c r="V4" s="213" t="b">
        <v>0</v>
      </c>
      <c r="W4" s="213" t="b">
        <v>0</v>
      </c>
      <c r="X4" s="213" t="b">
        <v>0</v>
      </c>
      <c r="Y4" s="213" t="b">
        <v>0</v>
      </c>
      <c r="Z4" s="213" t="b">
        <v>0</v>
      </c>
      <c r="AA4" s="213" t="b">
        <v>0</v>
      </c>
      <c r="AB4" s="213" t="b">
        <v>0</v>
      </c>
      <c r="AC4" s="213" t="b">
        <v>0</v>
      </c>
      <c r="AD4" s="246">
        <f>COUNTIF(Match_Attendance[[#This Row],[Alf M]:[Ronnie D]],"Y")</f>
        <v>0</v>
      </c>
    </row>
    <row r="5" spans="1:30" ht="16" customHeight="1" x14ac:dyDescent="0.35">
      <c r="A5" s="225">
        <f>Fixtures[[#This Row],[Date]]</f>
        <v>46292</v>
      </c>
      <c r="B5" s="220">
        <f>Match_Attendance[[#This Row],[Date]]</f>
        <v>46292</v>
      </c>
      <c r="C5" s="234">
        <f>Fixtures[[#This Row],[Opposition]]</f>
        <v>0</v>
      </c>
      <c r="D5" s="213" t="b">
        <v>0</v>
      </c>
      <c r="E5" s="213" t="b">
        <v>0</v>
      </c>
      <c r="F5" s="213" t="b">
        <v>0</v>
      </c>
      <c r="G5" s="213" t="b">
        <v>0</v>
      </c>
      <c r="H5" s="213" t="b">
        <v>0</v>
      </c>
      <c r="I5" s="213" t="b">
        <v>0</v>
      </c>
      <c r="J5" s="213" t="b">
        <v>0</v>
      </c>
      <c r="K5" s="213" t="b">
        <v>0</v>
      </c>
      <c r="L5" s="213" t="b">
        <v>0</v>
      </c>
      <c r="M5" s="213" t="b">
        <v>0</v>
      </c>
      <c r="N5" s="213" t="b">
        <v>0</v>
      </c>
      <c r="O5" s="213" t="b">
        <v>0</v>
      </c>
      <c r="P5" s="213" t="b">
        <v>0</v>
      </c>
      <c r="Q5" s="213" t="b">
        <v>0</v>
      </c>
      <c r="R5" s="213" t="b">
        <v>0</v>
      </c>
      <c r="S5" s="213" t="b">
        <v>0</v>
      </c>
      <c r="T5" s="213" t="b">
        <v>0</v>
      </c>
      <c r="U5" s="213" t="b">
        <v>0</v>
      </c>
      <c r="V5" s="213" t="b">
        <v>0</v>
      </c>
      <c r="W5" s="213" t="b">
        <v>0</v>
      </c>
      <c r="X5" s="213" t="b">
        <v>0</v>
      </c>
      <c r="Y5" s="213" t="b">
        <v>0</v>
      </c>
      <c r="Z5" s="213" t="b">
        <v>0</v>
      </c>
      <c r="AA5" s="213" t="b">
        <v>0</v>
      </c>
      <c r="AB5" s="213" t="b">
        <v>0</v>
      </c>
      <c r="AC5" s="213" t="b">
        <v>0</v>
      </c>
      <c r="AD5" s="246">
        <f>COUNTIF(Match_Attendance[[#This Row],[Alf M]:[Ronnie D]],"Y")</f>
        <v>0</v>
      </c>
    </row>
    <row r="6" spans="1:30" ht="16" customHeight="1" x14ac:dyDescent="0.35">
      <c r="A6" s="225">
        <f>Fixtures[[#This Row],[Date]]</f>
        <v>46299</v>
      </c>
      <c r="B6" s="220">
        <f>Match_Attendance[[#This Row],[Date]]</f>
        <v>46299</v>
      </c>
      <c r="C6" s="234">
        <f>Fixtures[[#This Row],[Opposition]]</f>
        <v>0</v>
      </c>
      <c r="D6" s="213" t="b">
        <v>0</v>
      </c>
      <c r="E6" s="213" t="b">
        <v>0</v>
      </c>
      <c r="F6" s="213" t="b">
        <v>0</v>
      </c>
      <c r="G6" s="213" t="b">
        <v>0</v>
      </c>
      <c r="H6" s="213" t="b">
        <v>0</v>
      </c>
      <c r="I6" s="213" t="b">
        <v>0</v>
      </c>
      <c r="J6" s="213" t="b">
        <v>0</v>
      </c>
      <c r="K6" s="213" t="b">
        <v>0</v>
      </c>
      <c r="L6" s="213" t="b">
        <v>0</v>
      </c>
      <c r="M6" s="213" t="b">
        <v>0</v>
      </c>
      <c r="N6" s="213" t="b">
        <v>0</v>
      </c>
      <c r="O6" s="213" t="b">
        <v>0</v>
      </c>
      <c r="P6" s="213" t="b">
        <v>0</v>
      </c>
      <c r="Q6" s="213" t="b">
        <v>0</v>
      </c>
      <c r="R6" s="213" t="b">
        <v>0</v>
      </c>
      <c r="S6" s="213" t="b">
        <v>0</v>
      </c>
      <c r="T6" s="213" t="b">
        <v>0</v>
      </c>
      <c r="U6" s="213" t="b">
        <v>0</v>
      </c>
      <c r="V6" s="213" t="b">
        <v>0</v>
      </c>
      <c r="W6" s="213" t="b">
        <v>0</v>
      </c>
      <c r="X6" s="213" t="b">
        <v>0</v>
      </c>
      <c r="Y6" s="213" t="b">
        <v>0</v>
      </c>
      <c r="Z6" s="213" t="b">
        <v>0</v>
      </c>
      <c r="AA6" s="213" t="b">
        <v>0</v>
      </c>
      <c r="AB6" s="213" t="b">
        <v>0</v>
      </c>
      <c r="AC6" s="213" t="b">
        <v>0</v>
      </c>
      <c r="AD6" s="246">
        <f>COUNTIF(Match_Attendance[[#This Row],[Alf M]:[Ronnie D]],"Y")</f>
        <v>0</v>
      </c>
    </row>
    <row r="7" spans="1:30" ht="16" customHeight="1" x14ac:dyDescent="0.35">
      <c r="A7" s="225">
        <f>Fixtures[[#This Row],[Date]]</f>
        <v>46306</v>
      </c>
      <c r="B7" s="220">
        <f>Match_Attendance[[#This Row],[Date]]</f>
        <v>46306</v>
      </c>
      <c r="C7" s="234">
        <f>Fixtures[[#This Row],[Opposition]]</f>
        <v>0</v>
      </c>
      <c r="D7" s="213" t="b">
        <v>0</v>
      </c>
      <c r="E7" s="213" t="b">
        <v>0</v>
      </c>
      <c r="F7" s="213" t="b">
        <v>0</v>
      </c>
      <c r="G7" s="213" t="b">
        <v>0</v>
      </c>
      <c r="H7" s="213" t="b">
        <v>0</v>
      </c>
      <c r="I7" s="213" t="b">
        <v>0</v>
      </c>
      <c r="J7" s="213" t="b">
        <v>0</v>
      </c>
      <c r="K7" s="213" t="b">
        <v>0</v>
      </c>
      <c r="L7" s="213" t="b">
        <v>0</v>
      </c>
      <c r="M7" s="213" t="b">
        <v>0</v>
      </c>
      <c r="N7" s="213" t="b">
        <v>0</v>
      </c>
      <c r="O7" s="213" t="b">
        <v>0</v>
      </c>
      <c r="P7" s="213" t="b">
        <v>0</v>
      </c>
      <c r="Q7" s="213" t="b">
        <v>0</v>
      </c>
      <c r="R7" s="213" t="b">
        <v>0</v>
      </c>
      <c r="S7" s="213" t="b">
        <v>0</v>
      </c>
      <c r="T7" s="213" t="b">
        <v>0</v>
      </c>
      <c r="U7" s="213" t="b">
        <v>0</v>
      </c>
      <c r="V7" s="213" t="b">
        <v>0</v>
      </c>
      <c r="W7" s="213" t="b">
        <v>0</v>
      </c>
      <c r="X7" s="213" t="b">
        <v>0</v>
      </c>
      <c r="Y7" s="213" t="b">
        <v>0</v>
      </c>
      <c r="Z7" s="213" t="b">
        <v>0</v>
      </c>
      <c r="AA7" s="213" t="b">
        <v>0</v>
      </c>
      <c r="AB7" s="213" t="b">
        <v>0</v>
      </c>
      <c r="AC7" s="213" t="b">
        <v>0</v>
      </c>
      <c r="AD7" s="246">
        <f>COUNTIF(Match_Attendance[[#This Row],[Alf M]:[Ronnie D]],"Y")</f>
        <v>0</v>
      </c>
    </row>
    <row r="8" spans="1:30" ht="16" customHeight="1" x14ac:dyDescent="0.35">
      <c r="A8" s="225">
        <f>Fixtures[[#This Row],[Date]]</f>
        <v>46313</v>
      </c>
      <c r="B8" s="220">
        <f>Match_Attendance[[#This Row],[Date]]</f>
        <v>46313</v>
      </c>
      <c r="C8" s="234">
        <f>Fixtures[[#This Row],[Opposition]]</f>
        <v>0</v>
      </c>
      <c r="D8" s="213" t="b">
        <v>0</v>
      </c>
      <c r="E8" s="213" t="b">
        <v>0</v>
      </c>
      <c r="F8" s="213" t="b">
        <v>0</v>
      </c>
      <c r="G8" s="213" t="b">
        <v>0</v>
      </c>
      <c r="H8" s="213" t="b">
        <v>0</v>
      </c>
      <c r="I8" s="213" t="b">
        <v>0</v>
      </c>
      <c r="J8" s="213" t="b">
        <v>0</v>
      </c>
      <c r="K8" s="213" t="b">
        <v>0</v>
      </c>
      <c r="L8" s="213" t="b">
        <v>0</v>
      </c>
      <c r="M8" s="213" t="b">
        <v>0</v>
      </c>
      <c r="N8" s="213" t="b">
        <v>0</v>
      </c>
      <c r="O8" s="213" t="b">
        <v>0</v>
      </c>
      <c r="P8" s="213" t="b">
        <v>0</v>
      </c>
      <c r="Q8" s="213" t="b">
        <v>0</v>
      </c>
      <c r="R8" s="213" t="b">
        <v>0</v>
      </c>
      <c r="S8" s="213" t="b">
        <v>0</v>
      </c>
      <c r="T8" s="213" t="b">
        <v>0</v>
      </c>
      <c r="U8" s="213" t="b">
        <v>0</v>
      </c>
      <c r="V8" s="213" t="b">
        <v>0</v>
      </c>
      <c r="W8" s="213" t="b">
        <v>0</v>
      </c>
      <c r="X8" s="213" t="b">
        <v>0</v>
      </c>
      <c r="Y8" s="213" t="b">
        <v>0</v>
      </c>
      <c r="Z8" s="213" t="b">
        <v>0</v>
      </c>
      <c r="AA8" s="213" t="b">
        <v>0</v>
      </c>
      <c r="AB8" s="213" t="b">
        <v>0</v>
      </c>
      <c r="AC8" s="213" t="b">
        <v>0</v>
      </c>
      <c r="AD8" s="246">
        <f>COUNTIF(Match_Attendance[[#This Row],[Alf M]:[Ronnie D]],"Y")</f>
        <v>0</v>
      </c>
    </row>
    <row r="9" spans="1:30" ht="16" customHeight="1" x14ac:dyDescent="0.35">
      <c r="A9" s="225">
        <f>Fixtures[[#This Row],[Date]]</f>
        <v>46320</v>
      </c>
      <c r="B9" s="220">
        <f>Match_Attendance[[#This Row],[Date]]</f>
        <v>46320</v>
      </c>
      <c r="C9" s="234">
        <f>Fixtures[[#This Row],[Opposition]]</f>
        <v>0</v>
      </c>
      <c r="D9" s="213" t="b">
        <v>0</v>
      </c>
      <c r="E9" s="213" t="b">
        <v>0</v>
      </c>
      <c r="F9" s="213" t="b">
        <v>0</v>
      </c>
      <c r="G9" s="213" t="b">
        <v>0</v>
      </c>
      <c r="H9" s="213" t="b">
        <v>0</v>
      </c>
      <c r="I9" s="213" t="b">
        <v>0</v>
      </c>
      <c r="J9" s="213" t="b">
        <v>0</v>
      </c>
      <c r="K9" s="213" t="b">
        <v>0</v>
      </c>
      <c r="L9" s="213" t="b">
        <v>0</v>
      </c>
      <c r="M9" s="213" t="b">
        <v>0</v>
      </c>
      <c r="N9" s="213" t="b">
        <v>0</v>
      </c>
      <c r="O9" s="213" t="b">
        <v>0</v>
      </c>
      <c r="P9" s="213" t="b">
        <v>0</v>
      </c>
      <c r="Q9" s="213" t="b">
        <v>0</v>
      </c>
      <c r="R9" s="213" t="b">
        <v>0</v>
      </c>
      <c r="S9" s="213" t="b">
        <v>0</v>
      </c>
      <c r="T9" s="213" t="b">
        <v>0</v>
      </c>
      <c r="U9" s="213" t="b">
        <v>0</v>
      </c>
      <c r="V9" s="213" t="b">
        <v>0</v>
      </c>
      <c r="W9" s="213" t="b">
        <v>0</v>
      </c>
      <c r="X9" s="213" t="b">
        <v>0</v>
      </c>
      <c r="Y9" s="213" t="b">
        <v>0</v>
      </c>
      <c r="Z9" s="213" t="b">
        <v>0</v>
      </c>
      <c r="AA9" s="213" t="b">
        <v>0</v>
      </c>
      <c r="AB9" s="213" t="b">
        <v>0</v>
      </c>
      <c r="AC9" s="213" t="b">
        <v>0</v>
      </c>
      <c r="AD9" s="246">
        <f>COUNTIF(Match_Attendance[[#This Row],[Alf M]:[Ronnie D]],"Y")</f>
        <v>0</v>
      </c>
    </row>
    <row r="10" spans="1:30" s="16" customFormat="1" ht="16" customHeight="1" x14ac:dyDescent="0.35">
      <c r="A10" s="225">
        <f>Fixtures[[#This Row],[Date]]</f>
        <v>46327</v>
      </c>
      <c r="B10" s="220">
        <f>Match_Attendance[[#This Row],[Date]]</f>
        <v>46327</v>
      </c>
      <c r="C10" s="234">
        <f>Fixtures[[#This Row],[Opposition]]</f>
        <v>0</v>
      </c>
      <c r="D10" s="213" t="b">
        <v>0</v>
      </c>
      <c r="E10" s="213" t="b">
        <v>0</v>
      </c>
      <c r="F10" s="213" t="b">
        <v>0</v>
      </c>
      <c r="G10" s="213" t="b">
        <v>0</v>
      </c>
      <c r="H10" s="213" t="b">
        <v>0</v>
      </c>
      <c r="I10" s="213" t="b">
        <v>0</v>
      </c>
      <c r="J10" s="213" t="b">
        <v>0</v>
      </c>
      <c r="K10" s="213" t="b">
        <v>0</v>
      </c>
      <c r="L10" s="213" t="b">
        <v>0</v>
      </c>
      <c r="M10" s="213" t="b">
        <v>0</v>
      </c>
      <c r="N10" s="213" t="b">
        <v>0</v>
      </c>
      <c r="O10" s="213" t="b">
        <v>0</v>
      </c>
      <c r="P10" s="213" t="b">
        <v>0</v>
      </c>
      <c r="Q10" s="213" t="b">
        <v>0</v>
      </c>
      <c r="R10" s="213" t="b">
        <v>0</v>
      </c>
      <c r="S10" s="213" t="b">
        <v>0</v>
      </c>
      <c r="T10" s="213" t="b">
        <v>0</v>
      </c>
      <c r="U10" s="213" t="b">
        <v>0</v>
      </c>
      <c r="V10" s="213" t="b">
        <v>0</v>
      </c>
      <c r="W10" s="213" t="b">
        <v>0</v>
      </c>
      <c r="X10" s="213" t="b">
        <v>0</v>
      </c>
      <c r="Y10" s="213" t="b">
        <v>0</v>
      </c>
      <c r="Z10" s="213" t="b">
        <v>0</v>
      </c>
      <c r="AA10" s="213" t="b">
        <v>0</v>
      </c>
      <c r="AB10" s="213" t="b">
        <v>0</v>
      </c>
      <c r="AC10" s="213" t="b">
        <v>0</v>
      </c>
      <c r="AD10" s="246">
        <f>COUNTIF(Match_Attendance[[#This Row],[Alf M]:[Ronnie D]],"Y")</f>
        <v>0</v>
      </c>
    </row>
    <row r="11" spans="1:30" s="16" customFormat="1" ht="16" customHeight="1" x14ac:dyDescent="0.35">
      <c r="A11" s="225">
        <f>Fixtures[[#This Row],[Date]]</f>
        <v>46334</v>
      </c>
      <c r="B11" s="220">
        <f>Match_Attendance[[#This Row],[Date]]</f>
        <v>46334</v>
      </c>
      <c r="C11" s="234">
        <f>Fixtures[[#This Row],[Opposition]]</f>
        <v>0</v>
      </c>
      <c r="D11" s="213" t="b">
        <v>0</v>
      </c>
      <c r="E11" s="213" t="b">
        <v>0</v>
      </c>
      <c r="F11" s="213" t="b">
        <v>0</v>
      </c>
      <c r="G11" s="213" t="b">
        <v>0</v>
      </c>
      <c r="H11" s="213" t="b">
        <v>0</v>
      </c>
      <c r="I11" s="213" t="b">
        <v>0</v>
      </c>
      <c r="J11" s="213" t="b">
        <v>0</v>
      </c>
      <c r="K11" s="213" t="b">
        <v>0</v>
      </c>
      <c r="L11" s="213" t="b">
        <v>0</v>
      </c>
      <c r="M11" s="213" t="b">
        <v>0</v>
      </c>
      <c r="N11" s="213" t="b">
        <v>0</v>
      </c>
      <c r="O11" s="213" t="b">
        <v>0</v>
      </c>
      <c r="P11" s="213" t="b">
        <v>0</v>
      </c>
      <c r="Q11" s="213" t="b">
        <v>0</v>
      </c>
      <c r="R11" s="213" t="b">
        <v>0</v>
      </c>
      <c r="S11" s="213" t="b">
        <v>0</v>
      </c>
      <c r="T11" s="213" t="b">
        <v>0</v>
      </c>
      <c r="U11" s="213" t="b">
        <v>0</v>
      </c>
      <c r="V11" s="213" t="b">
        <v>0</v>
      </c>
      <c r="W11" s="213" t="b">
        <v>0</v>
      </c>
      <c r="X11" s="213" t="b">
        <v>0</v>
      </c>
      <c r="Y11" s="213" t="b">
        <v>0</v>
      </c>
      <c r="Z11" s="213" t="b">
        <v>0</v>
      </c>
      <c r="AA11" s="213" t="b">
        <v>0</v>
      </c>
      <c r="AB11" s="213" t="b">
        <v>0</v>
      </c>
      <c r="AC11" s="213" t="b">
        <v>0</v>
      </c>
      <c r="AD11" s="246">
        <f>COUNTIF(Match_Attendance[[#This Row],[Alf M]:[Ronnie D]],"Y")</f>
        <v>0</v>
      </c>
    </row>
    <row r="12" spans="1:30" s="16" customFormat="1" ht="16" customHeight="1" x14ac:dyDescent="0.35">
      <c r="A12" s="225">
        <f>Fixtures[[#This Row],[Date]]</f>
        <v>46341</v>
      </c>
      <c r="B12" s="220">
        <f>Match_Attendance[[#This Row],[Date]]</f>
        <v>46341</v>
      </c>
      <c r="C12" s="234">
        <f>Fixtures[[#This Row],[Opposition]]</f>
        <v>0</v>
      </c>
      <c r="D12" s="213" t="b">
        <v>0</v>
      </c>
      <c r="E12" s="213" t="b">
        <v>0</v>
      </c>
      <c r="F12" s="213" t="b">
        <v>0</v>
      </c>
      <c r="G12" s="213" t="b">
        <v>0</v>
      </c>
      <c r="H12" s="213" t="b">
        <v>0</v>
      </c>
      <c r="I12" s="213" t="b">
        <v>0</v>
      </c>
      <c r="J12" s="213" t="b">
        <v>0</v>
      </c>
      <c r="K12" s="213" t="b">
        <v>0</v>
      </c>
      <c r="L12" s="213" t="b">
        <v>0</v>
      </c>
      <c r="M12" s="213" t="b">
        <v>0</v>
      </c>
      <c r="N12" s="213" t="b">
        <v>0</v>
      </c>
      <c r="O12" s="213" t="b">
        <v>0</v>
      </c>
      <c r="P12" s="213" t="b">
        <v>0</v>
      </c>
      <c r="Q12" s="213" t="b">
        <v>0</v>
      </c>
      <c r="R12" s="213" t="b">
        <v>0</v>
      </c>
      <c r="S12" s="213" t="b">
        <v>0</v>
      </c>
      <c r="T12" s="213" t="b">
        <v>0</v>
      </c>
      <c r="U12" s="213" t="b">
        <v>0</v>
      </c>
      <c r="V12" s="213" t="b">
        <v>0</v>
      </c>
      <c r="W12" s="213" t="b">
        <v>0</v>
      </c>
      <c r="X12" s="213" t="b">
        <v>0</v>
      </c>
      <c r="Y12" s="213" t="b">
        <v>0</v>
      </c>
      <c r="Z12" s="213" t="b">
        <v>0</v>
      </c>
      <c r="AA12" s="213" t="b">
        <v>0</v>
      </c>
      <c r="AB12" s="213" t="b">
        <v>0</v>
      </c>
      <c r="AC12" s="213" t="b">
        <v>0</v>
      </c>
      <c r="AD12" s="246">
        <f>COUNTIF(Match_Attendance[[#This Row],[Alf M]:[Ronnie D]],"Y")</f>
        <v>0</v>
      </c>
    </row>
    <row r="13" spans="1:30" s="16" customFormat="1" ht="16" customHeight="1" x14ac:dyDescent="0.35">
      <c r="A13" s="225">
        <f>Fixtures[[#This Row],[Date]]</f>
        <v>46348</v>
      </c>
      <c r="B13" s="220">
        <f>Match_Attendance[[#This Row],[Date]]</f>
        <v>46348</v>
      </c>
      <c r="C13" s="234">
        <f>Fixtures[[#This Row],[Opposition]]</f>
        <v>0</v>
      </c>
      <c r="D13" s="213" t="b">
        <v>0</v>
      </c>
      <c r="E13" s="213" t="b">
        <v>0</v>
      </c>
      <c r="F13" s="213" t="b">
        <v>0</v>
      </c>
      <c r="G13" s="213" t="b">
        <v>0</v>
      </c>
      <c r="H13" s="213" t="b">
        <v>0</v>
      </c>
      <c r="I13" s="213" t="b">
        <v>0</v>
      </c>
      <c r="J13" s="213" t="b">
        <v>0</v>
      </c>
      <c r="K13" s="213" t="b">
        <v>0</v>
      </c>
      <c r="L13" s="213" t="b">
        <v>0</v>
      </c>
      <c r="M13" s="213" t="b">
        <v>0</v>
      </c>
      <c r="N13" s="213" t="b">
        <v>0</v>
      </c>
      <c r="O13" s="213" t="b">
        <v>0</v>
      </c>
      <c r="P13" s="213" t="b">
        <v>0</v>
      </c>
      <c r="Q13" s="213" t="b">
        <v>0</v>
      </c>
      <c r="R13" s="213" t="b">
        <v>0</v>
      </c>
      <c r="S13" s="213" t="b">
        <v>0</v>
      </c>
      <c r="T13" s="213" t="b">
        <v>0</v>
      </c>
      <c r="U13" s="213" t="b">
        <v>0</v>
      </c>
      <c r="V13" s="213" t="b">
        <v>0</v>
      </c>
      <c r="W13" s="213" t="b">
        <v>0</v>
      </c>
      <c r="X13" s="213" t="b">
        <v>0</v>
      </c>
      <c r="Y13" s="213" t="b">
        <v>0</v>
      </c>
      <c r="Z13" s="213" t="b">
        <v>0</v>
      </c>
      <c r="AA13" s="213" t="b">
        <v>0</v>
      </c>
      <c r="AB13" s="213" t="b">
        <v>0</v>
      </c>
      <c r="AC13" s="213" t="b">
        <v>0</v>
      </c>
      <c r="AD13" s="246">
        <f>COUNTIF(Match_Attendance[[#This Row],[Alf M]:[Ronnie D]],"Y")</f>
        <v>0</v>
      </c>
    </row>
    <row r="14" spans="1:30" s="16" customFormat="1" ht="16" customHeight="1" x14ac:dyDescent="0.35">
      <c r="A14" s="225">
        <f>Fixtures[[#This Row],[Date]]</f>
        <v>46355</v>
      </c>
      <c r="B14" s="220">
        <f>Match_Attendance[[#This Row],[Date]]</f>
        <v>46355</v>
      </c>
      <c r="C14" s="234">
        <f>Fixtures[[#This Row],[Opposition]]</f>
        <v>0</v>
      </c>
      <c r="D14" s="213" t="b">
        <v>0</v>
      </c>
      <c r="E14" s="213" t="b">
        <v>0</v>
      </c>
      <c r="F14" s="213" t="b">
        <v>0</v>
      </c>
      <c r="G14" s="213" t="b">
        <v>0</v>
      </c>
      <c r="H14" s="213" t="b">
        <v>0</v>
      </c>
      <c r="I14" s="213" t="b">
        <v>0</v>
      </c>
      <c r="J14" s="213" t="b">
        <v>0</v>
      </c>
      <c r="K14" s="213" t="b">
        <v>0</v>
      </c>
      <c r="L14" s="213" t="b">
        <v>0</v>
      </c>
      <c r="M14" s="213" t="b">
        <v>0</v>
      </c>
      <c r="N14" s="213" t="b">
        <v>0</v>
      </c>
      <c r="O14" s="213" t="b">
        <v>0</v>
      </c>
      <c r="P14" s="213" t="b">
        <v>0</v>
      </c>
      <c r="Q14" s="213" t="b">
        <v>0</v>
      </c>
      <c r="R14" s="213" t="b">
        <v>0</v>
      </c>
      <c r="S14" s="213" t="b">
        <v>0</v>
      </c>
      <c r="T14" s="213" t="b">
        <v>0</v>
      </c>
      <c r="U14" s="213" t="b">
        <v>0</v>
      </c>
      <c r="V14" s="213" t="b">
        <v>0</v>
      </c>
      <c r="W14" s="213" t="b">
        <v>0</v>
      </c>
      <c r="X14" s="213" t="b">
        <v>0</v>
      </c>
      <c r="Y14" s="213" t="b">
        <v>0</v>
      </c>
      <c r="Z14" s="213" t="b">
        <v>0</v>
      </c>
      <c r="AA14" s="213" t="b">
        <v>0</v>
      </c>
      <c r="AB14" s="213" t="b">
        <v>0</v>
      </c>
      <c r="AC14" s="213" t="b">
        <v>0</v>
      </c>
      <c r="AD14" s="246">
        <f>COUNTIF(Match_Attendance[[#This Row],[Alf M]:[Ronnie D]],"Y")</f>
        <v>0</v>
      </c>
    </row>
    <row r="15" spans="1:30" s="16" customFormat="1" ht="16" customHeight="1" x14ac:dyDescent="0.35">
      <c r="A15" s="225">
        <f>Fixtures[[#This Row],[Date]]</f>
        <v>46362</v>
      </c>
      <c r="B15" s="220">
        <f>Match_Attendance[[#This Row],[Date]]</f>
        <v>46362</v>
      </c>
      <c r="C15" s="234">
        <f>Fixtures[[#This Row],[Opposition]]</f>
        <v>0</v>
      </c>
      <c r="D15" s="213" t="b">
        <v>0</v>
      </c>
      <c r="E15" s="213" t="b">
        <v>0</v>
      </c>
      <c r="F15" s="213" t="b">
        <v>0</v>
      </c>
      <c r="G15" s="213" t="b">
        <v>0</v>
      </c>
      <c r="H15" s="213" t="b">
        <v>0</v>
      </c>
      <c r="I15" s="213" t="b">
        <v>0</v>
      </c>
      <c r="J15" s="213" t="b">
        <v>0</v>
      </c>
      <c r="K15" s="213" t="b">
        <v>0</v>
      </c>
      <c r="L15" s="213" t="b">
        <v>0</v>
      </c>
      <c r="M15" s="213" t="b">
        <v>0</v>
      </c>
      <c r="N15" s="213" t="b">
        <v>0</v>
      </c>
      <c r="O15" s="213" t="b">
        <v>0</v>
      </c>
      <c r="P15" s="213" t="b">
        <v>0</v>
      </c>
      <c r="Q15" s="213" t="b">
        <v>0</v>
      </c>
      <c r="R15" s="213" t="b">
        <v>0</v>
      </c>
      <c r="S15" s="213" t="b">
        <v>0</v>
      </c>
      <c r="T15" s="213" t="b">
        <v>0</v>
      </c>
      <c r="U15" s="213" t="b">
        <v>0</v>
      </c>
      <c r="V15" s="213" t="b">
        <v>0</v>
      </c>
      <c r="W15" s="213" t="b">
        <v>0</v>
      </c>
      <c r="X15" s="213" t="b">
        <v>0</v>
      </c>
      <c r="Y15" s="213" t="b">
        <v>0</v>
      </c>
      <c r="Z15" s="213" t="b">
        <v>0</v>
      </c>
      <c r="AA15" s="213" t="b">
        <v>0</v>
      </c>
      <c r="AB15" s="213" t="b">
        <v>0</v>
      </c>
      <c r="AC15" s="213" t="b">
        <v>0</v>
      </c>
      <c r="AD15" s="246">
        <f>COUNTIF(Match_Attendance[[#This Row],[Alf M]:[Ronnie D]],"Y")</f>
        <v>0</v>
      </c>
    </row>
    <row r="16" spans="1:30" s="16" customFormat="1" ht="16" customHeight="1" x14ac:dyDescent="0.35">
      <c r="A16" s="225">
        <f>Fixtures[[#This Row],[Date]]</f>
        <v>46369</v>
      </c>
      <c r="B16" s="220">
        <f>Match_Attendance[[#This Row],[Date]]</f>
        <v>46369</v>
      </c>
      <c r="C16" s="234">
        <f>Fixtures[[#This Row],[Opposition]]</f>
        <v>0</v>
      </c>
      <c r="D16" s="213" t="b">
        <v>0</v>
      </c>
      <c r="E16" s="213" t="b">
        <v>0</v>
      </c>
      <c r="F16" s="213" t="b">
        <v>0</v>
      </c>
      <c r="G16" s="213" t="b">
        <v>0</v>
      </c>
      <c r="H16" s="213" t="b">
        <v>0</v>
      </c>
      <c r="I16" s="213" t="b">
        <v>0</v>
      </c>
      <c r="J16" s="213" t="b">
        <v>0</v>
      </c>
      <c r="K16" s="213" t="b">
        <v>0</v>
      </c>
      <c r="L16" s="213" t="b">
        <v>0</v>
      </c>
      <c r="M16" s="213" t="b">
        <v>0</v>
      </c>
      <c r="N16" s="213" t="b">
        <v>0</v>
      </c>
      <c r="O16" s="213" t="b">
        <v>0</v>
      </c>
      <c r="P16" s="213" t="b">
        <v>0</v>
      </c>
      <c r="Q16" s="213" t="b">
        <v>0</v>
      </c>
      <c r="R16" s="213" t="b">
        <v>0</v>
      </c>
      <c r="S16" s="213" t="b">
        <v>0</v>
      </c>
      <c r="T16" s="213" t="b">
        <v>0</v>
      </c>
      <c r="U16" s="213" t="b">
        <v>0</v>
      </c>
      <c r="V16" s="213" t="b">
        <v>0</v>
      </c>
      <c r="W16" s="213" t="b">
        <v>0</v>
      </c>
      <c r="X16" s="213" t="b">
        <v>0</v>
      </c>
      <c r="Y16" s="213" t="b">
        <v>0</v>
      </c>
      <c r="Z16" s="213" t="b">
        <v>0</v>
      </c>
      <c r="AA16" s="213" t="b">
        <v>0</v>
      </c>
      <c r="AB16" s="213" t="b">
        <v>0</v>
      </c>
      <c r="AC16" s="213" t="b">
        <v>0</v>
      </c>
      <c r="AD16" s="246">
        <f>COUNTIF(Match_Attendance[[#This Row],[Alf M]:[Ronnie D]],"Y")</f>
        <v>0</v>
      </c>
    </row>
    <row r="17" spans="1:30" s="16" customFormat="1" ht="16" customHeight="1" x14ac:dyDescent="0.35">
      <c r="A17" s="225">
        <f>Fixtures[[#This Row],[Date]]</f>
        <v>46376</v>
      </c>
      <c r="B17" s="220">
        <f>Match_Attendance[[#This Row],[Date]]</f>
        <v>46376</v>
      </c>
      <c r="C17" s="234">
        <f>Fixtures[[#This Row],[Opposition]]</f>
        <v>0</v>
      </c>
      <c r="D17" s="213" t="b">
        <v>0</v>
      </c>
      <c r="E17" s="213" t="b">
        <v>0</v>
      </c>
      <c r="F17" s="213" t="b">
        <v>0</v>
      </c>
      <c r="G17" s="213" t="b">
        <v>0</v>
      </c>
      <c r="H17" s="213" t="b">
        <v>0</v>
      </c>
      <c r="I17" s="213" t="b">
        <v>0</v>
      </c>
      <c r="J17" s="213" t="b">
        <v>0</v>
      </c>
      <c r="K17" s="213" t="b">
        <v>0</v>
      </c>
      <c r="L17" s="213" t="b">
        <v>0</v>
      </c>
      <c r="M17" s="213" t="b">
        <v>0</v>
      </c>
      <c r="N17" s="213" t="b">
        <v>0</v>
      </c>
      <c r="O17" s="213" t="b">
        <v>0</v>
      </c>
      <c r="P17" s="213" t="b">
        <v>0</v>
      </c>
      <c r="Q17" s="213" t="b">
        <v>0</v>
      </c>
      <c r="R17" s="213" t="b">
        <v>0</v>
      </c>
      <c r="S17" s="213" t="b">
        <v>0</v>
      </c>
      <c r="T17" s="213" t="b">
        <v>0</v>
      </c>
      <c r="U17" s="213" t="b">
        <v>0</v>
      </c>
      <c r="V17" s="213" t="b">
        <v>0</v>
      </c>
      <c r="W17" s="213" t="b">
        <v>0</v>
      </c>
      <c r="X17" s="213" t="b">
        <v>0</v>
      </c>
      <c r="Y17" s="213" t="b">
        <v>0</v>
      </c>
      <c r="Z17" s="213" t="b">
        <v>0</v>
      </c>
      <c r="AA17" s="213" t="b">
        <v>0</v>
      </c>
      <c r="AB17" s="213" t="b">
        <v>0</v>
      </c>
      <c r="AC17" s="213" t="b">
        <v>0</v>
      </c>
      <c r="AD17" s="246">
        <f>COUNTIF(Match_Attendance[[#This Row],[Alf M]:[Ronnie D]],"Y")</f>
        <v>0</v>
      </c>
    </row>
    <row r="18" spans="1:30" s="16" customFormat="1" ht="16" customHeight="1" x14ac:dyDescent="0.35">
      <c r="A18" s="225">
        <f>Fixtures[[#This Row],[Date]]</f>
        <v>46383</v>
      </c>
      <c r="B18" s="220">
        <f>Match_Attendance[[#This Row],[Date]]</f>
        <v>46383</v>
      </c>
      <c r="C18" s="234">
        <f>Fixtures[[#This Row],[Opposition]]</f>
        <v>0</v>
      </c>
      <c r="D18" s="213" t="b">
        <v>0</v>
      </c>
      <c r="E18" s="213" t="b">
        <v>0</v>
      </c>
      <c r="F18" s="213" t="b">
        <v>0</v>
      </c>
      <c r="G18" s="213" t="b">
        <v>0</v>
      </c>
      <c r="H18" s="213" t="b">
        <v>0</v>
      </c>
      <c r="I18" s="213" t="b">
        <v>0</v>
      </c>
      <c r="J18" s="213" t="b">
        <v>0</v>
      </c>
      <c r="K18" s="213" t="b">
        <v>0</v>
      </c>
      <c r="L18" s="213" t="b">
        <v>0</v>
      </c>
      <c r="M18" s="213" t="b">
        <v>0</v>
      </c>
      <c r="N18" s="213" t="b">
        <v>0</v>
      </c>
      <c r="O18" s="213" t="b">
        <v>0</v>
      </c>
      <c r="P18" s="213" t="b">
        <v>0</v>
      </c>
      <c r="Q18" s="213" t="b">
        <v>0</v>
      </c>
      <c r="R18" s="213" t="b">
        <v>0</v>
      </c>
      <c r="S18" s="213" t="b">
        <v>0</v>
      </c>
      <c r="T18" s="213" t="b">
        <v>0</v>
      </c>
      <c r="U18" s="213" t="b">
        <v>0</v>
      </c>
      <c r="V18" s="213" t="b">
        <v>0</v>
      </c>
      <c r="W18" s="213" t="b">
        <v>0</v>
      </c>
      <c r="X18" s="213" t="b">
        <v>0</v>
      </c>
      <c r="Y18" s="213" t="b">
        <v>0</v>
      </c>
      <c r="Z18" s="213" t="b">
        <v>0</v>
      </c>
      <c r="AA18" s="213" t="b">
        <v>0</v>
      </c>
      <c r="AB18" s="213" t="b">
        <v>0</v>
      </c>
      <c r="AC18" s="213" t="b">
        <v>0</v>
      </c>
      <c r="AD18" s="246">
        <f>COUNTIF(Match_Attendance[[#This Row],[Alf M]:[Ronnie D]],"Y")</f>
        <v>0</v>
      </c>
    </row>
    <row r="19" spans="1:30" s="16" customFormat="1" ht="16" customHeight="1" x14ac:dyDescent="0.35">
      <c r="A19" s="225">
        <f>Fixtures[[#This Row],[Date]]</f>
        <v>46390</v>
      </c>
      <c r="B19" s="220">
        <f>Match_Attendance[[#This Row],[Date]]</f>
        <v>46390</v>
      </c>
      <c r="C19" s="234">
        <f>Fixtures[[#This Row],[Opposition]]</f>
        <v>0</v>
      </c>
      <c r="D19" s="212" t="b">
        <v>0</v>
      </c>
      <c r="E19" s="212" t="b">
        <v>0</v>
      </c>
      <c r="F19" s="212" t="b">
        <v>0</v>
      </c>
      <c r="G19" s="212" t="b">
        <v>0</v>
      </c>
      <c r="H19" s="212" t="b">
        <v>0</v>
      </c>
      <c r="I19" s="212" t="b">
        <v>0</v>
      </c>
      <c r="J19" s="212" t="b">
        <v>0</v>
      </c>
      <c r="K19" s="212" t="b">
        <v>0</v>
      </c>
      <c r="L19" s="212" t="b">
        <v>0</v>
      </c>
      <c r="M19" s="212" t="b">
        <v>0</v>
      </c>
      <c r="N19" s="212" t="b">
        <v>0</v>
      </c>
      <c r="O19" s="212" t="b">
        <v>0</v>
      </c>
      <c r="P19" s="212" t="b">
        <v>0</v>
      </c>
      <c r="Q19" s="212" t="b">
        <v>0</v>
      </c>
      <c r="R19" s="212" t="b">
        <v>0</v>
      </c>
      <c r="S19" s="212" t="b">
        <v>0</v>
      </c>
      <c r="T19" s="213" t="b">
        <v>0</v>
      </c>
      <c r="U19" s="212" t="b">
        <v>0</v>
      </c>
      <c r="V19" s="212" t="b">
        <v>0</v>
      </c>
      <c r="W19" s="212" t="b">
        <v>0</v>
      </c>
      <c r="X19" s="212" t="b">
        <v>0</v>
      </c>
      <c r="Y19" s="212" t="b">
        <v>0</v>
      </c>
      <c r="Z19" s="212" t="b">
        <v>0</v>
      </c>
      <c r="AA19" s="212" t="b">
        <v>0</v>
      </c>
      <c r="AB19" s="212" t="b">
        <v>0</v>
      </c>
      <c r="AC19" s="212" t="b">
        <v>0</v>
      </c>
      <c r="AD19" s="247">
        <f>COUNTIF(Match_Attendance[[#This Row],[Alf M]:[Ronnie D]],"Y")</f>
        <v>0</v>
      </c>
    </row>
    <row r="20" spans="1:30" s="16" customFormat="1" ht="16" customHeight="1" x14ac:dyDescent="0.35">
      <c r="A20" s="225">
        <f>Fixtures[[#This Row],[Date]]</f>
        <v>46397</v>
      </c>
      <c r="B20" s="220">
        <f>Match_Attendance[[#This Row],[Date]]</f>
        <v>46397</v>
      </c>
      <c r="C20" s="234">
        <f>Fixtures[[#This Row],[Opposition]]</f>
        <v>0</v>
      </c>
      <c r="D20" s="212" t="b">
        <v>0</v>
      </c>
      <c r="E20" s="212" t="b">
        <v>0</v>
      </c>
      <c r="F20" s="212" t="b">
        <v>0</v>
      </c>
      <c r="G20" s="212" t="b">
        <v>0</v>
      </c>
      <c r="H20" s="212" t="b">
        <v>0</v>
      </c>
      <c r="I20" s="212" t="b">
        <v>0</v>
      </c>
      <c r="J20" s="212" t="b">
        <v>0</v>
      </c>
      <c r="K20" s="212" t="b">
        <v>0</v>
      </c>
      <c r="L20" s="212" t="b">
        <v>0</v>
      </c>
      <c r="M20" s="212" t="b">
        <v>0</v>
      </c>
      <c r="N20" s="212" t="b">
        <v>0</v>
      </c>
      <c r="O20" s="212" t="b">
        <v>0</v>
      </c>
      <c r="P20" s="212" t="b">
        <v>0</v>
      </c>
      <c r="Q20" s="212" t="b">
        <v>0</v>
      </c>
      <c r="R20" s="212" t="b">
        <v>0</v>
      </c>
      <c r="S20" s="212" t="b">
        <v>0</v>
      </c>
      <c r="T20" s="213" t="b">
        <v>0</v>
      </c>
      <c r="U20" s="212" t="b">
        <v>0</v>
      </c>
      <c r="V20" s="212" t="b">
        <v>0</v>
      </c>
      <c r="W20" s="212" t="b">
        <v>0</v>
      </c>
      <c r="X20" s="212" t="b">
        <v>0</v>
      </c>
      <c r="Y20" s="212" t="b">
        <v>0</v>
      </c>
      <c r="Z20" s="212" t="b">
        <v>0</v>
      </c>
      <c r="AA20" s="212" t="b">
        <v>0</v>
      </c>
      <c r="AB20" s="212" t="b">
        <v>0</v>
      </c>
      <c r="AC20" s="212" t="b">
        <v>0</v>
      </c>
      <c r="AD20" s="247">
        <f>COUNTIF(Match_Attendance[[#This Row],[Alf M]:[Ronnie D]],"Y")</f>
        <v>0</v>
      </c>
    </row>
    <row r="21" spans="1:30" s="16" customFormat="1" ht="16" customHeight="1" x14ac:dyDescent="0.35">
      <c r="A21" s="225">
        <f>Fixtures[[#This Row],[Date]]</f>
        <v>46404</v>
      </c>
      <c r="B21" s="220">
        <f>Match_Attendance[[#This Row],[Date]]</f>
        <v>46404</v>
      </c>
      <c r="C21" s="234">
        <f>Fixtures[[#This Row],[Opposition]]</f>
        <v>0</v>
      </c>
      <c r="D21" s="212" t="b">
        <v>0</v>
      </c>
      <c r="E21" s="212" t="b">
        <v>0</v>
      </c>
      <c r="F21" s="212" t="b">
        <v>0</v>
      </c>
      <c r="G21" s="212" t="b">
        <v>0</v>
      </c>
      <c r="H21" s="212" t="b">
        <v>0</v>
      </c>
      <c r="I21" s="212" t="b">
        <v>0</v>
      </c>
      <c r="J21" s="212" t="b">
        <v>0</v>
      </c>
      <c r="K21" s="212" t="b">
        <v>0</v>
      </c>
      <c r="L21" s="212" t="b">
        <v>0</v>
      </c>
      <c r="M21" s="212" t="b">
        <v>0</v>
      </c>
      <c r="N21" s="212" t="b">
        <v>0</v>
      </c>
      <c r="O21" s="212" t="b">
        <v>0</v>
      </c>
      <c r="P21" s="212" t="b">
        <v>0</v>
      </c>
      <c r="Q21" s="212" t="b">
        <v>0</v>
      </c>
      <c r="R21" s="212" t="b">
        <v>0</v>
      </c>
      <c r="S21" s="212" t="b">
        <v>0</v>
      </c>
      <c r="T21" s="213" t="b">
        <v>0</v>
      </c>
      <c r="U21" s="212" t="b">
        <v>0</v>
      </c>
      <c r="V21" s="212" t="b">
        <v>0</v>
      </c>
      <c r="W21" s="212" t="b">
        <v>0</v>
      </c>
      <c r="X21" s="212" t="b">
        <v>0</v>
      </c>
      <c r="Y21" s="212" t="b">
        <v>0</v>
      </c>
      <c r="Z21" s="212" t="b">
        <v>0</v>
      </c>
      <c r="AA21" s="212" t="b">
        <v>0</v>
      </c>
      <c r="AB21" s="212" t="b">
        <v>0</v>
      </c>
      <c r="AC21" s="212" t="b">
        <v>0</v>
      </c>
      <c r="AD21" s="247">
        <f>COUNTIF(Match_Attendance[[#This Row],[Alf M]:[Ronnie D]],"Y")</f>
        <v>0</v>
      </c>
    </row>
    <row r="22" spans="1:30" s="16" customFormat="1" ht="16" customHeight="1" x14ac:dyDescent="0.35">
      <c r="A22" s="225">
        <f>Fixtures[[#This Row],[Date]]</f>
        <v>46411</v>
      </c>
      <c r="B22" s="220">
        <f>Match_Attendance[[#This Row],[Date]]</f>
        <v>46411</v>
      </c>
      <c r="C22" s="234">
        <f>Fixtures[[#This Row],[Opposition]]</f>
        <v>0</v>
      </c>
      <c r="D22" s="212" t="b">
        <v>0</v>
      </c>
      <c r="E22" s="212" t="b">
        <v>0</v>
      </c>
      <c r="F22" s="212" t="b">
        <v>0</v>
      </c>
      <c r="G22" s="212" t="b">
        <v>0</v>
      </c>
      <c r="H22" s="212" t="b">
        <v>0</v>
      </c>
      <c r="I22" s="212" t="b">
        <v>0</v>
      </c>
      <c r="J22" s="212" t="b">
        <v>0</v>
      </c>
      <c r="K22" s="212" t="b">
        <v>0</v>
      </c>
      <c r="L22" s="212" t="b">
        <v>0</v>
      </c>
      <c r="M22" s="212" t="b">
        <v>0</v>
      </c>
      <c r="N22" s="212" t="b">
        <v>0</v>
      </c>
      <c r="O22" s="212" t="b">
        <v>0</v>
      </c>
      <c r="P22" s="212" t="b">
        <v>0</v>
      </c>
      <c r="Q22" s="212" t="b">
        <v>0</v>
      </c>
      <c r="R22" s="212" t="b">
        <v>0</v>
      </c>
      <c r="S22" s="212" t="b">
        <v>0</v>
      </c>
      <c r="T22" s="213" t="b">
        <v>0</v>
      </c>
      <c r="U22" s="212" t="b">
        <v>0</v>
      </c>
      <c r="V22" s="212" t="b">
        <v>0</v>
      </c>
      <c r="W22" s="212" t="b">
        <v>0</v>
      </c>
      <c r="X22" s="212" t="b">
        <v>0</v>
      </c>
      <c r="Y22" s="212" t="b">
        <v>0</v>
      </c>
      <c r="Z22" s="212" t="b">
        <v>0</v>
      </c>
      <c r="AA22" s="212" t="b">
        <v>0</v>
      </c>
      <c r="AB22" s="212" t="b">
        <v>0</v>
      </c>
      <c r="AC22" s="212" t="b">
        <v>0</v>
      </c>
      <c r="AD22" s="247">
        <f>COUNTIF(Match_Attendance[[#This Row],[Alf M]:[Ronnie D]],"Y")</f>
        <v>0</v>
      </c>
    </row>
    <row r="23" spans="1:30" s="16" customFormat="1" ht="16" customHeight="1" x14ac:dyDescent="0.35">
      <c r="A23" s="225">
        <f>Fixtures[[#This Row],[Date]]</f>
        <v>46418</v>
      </c>
      <c r="B23" s="220">
        <f>Match_Attendance[[#This Row],[Date]]</f>
        <v>46418</v>
      </c>
      <c r="C23" s="234">
        <f>Fixtures[[#This Row],[Opposition]]</f>
        <v>0</v>
      </c>
      <c r="D23" s="212" t="b">
        <v>0</v>
      </c>
      <c r="E23" s="212" t="b">
        <v>0</v>
      </c>
      <c r="F23" s="212" t="b">
        <v>0</v>
      </c>
      <c r="G23" s="212" t="b">
        <v>0</v>
      </c>
      <c r="H23" s="212" t="b">
        <v>0</v>
      </c>
      <c r="I23" s="212" t="b">
        <v>0</v>
      </c>
      <c r="J23" s="212" t="b">
        <v>0</v>
      </c>
      <c r="K23" s="212" t="b">
        <v>0</v>
      </c>
      <c r="L23" s="212" t="b">
        <v>0</v>
      </c>
      <c r="M23" s="212" t="b">
        <v>0</v>
      </c>
      <c r="N23" s="212" t="b">
        <v>0</v>
      </c>
      <c r="O23" s="212" t="b">
        <v>0</v>
      </c>
      <c r="P23" s="212" t="b">
        <v>0</v>
      </c>
      <c r="Q23" s="212" t="b">
        <v>0</v>
      </c>
      <c r="R23" s="212" t="b">
        <v>0</v>
      </c>
      <c r="S23" s="212" t="b">
        <v>0</v>
      </c>
      <c r="T23" s="213" t="b">
        <v>0</v>
      </c>
      <c r="U23" s="212" t="b">
        <v>0</v>
      </c>
      <c r="V23" s="212" t="b">
        <v>0</v>
      </c>
      <c r="W23" s="212" t="b">
        <v>0</v>
      </c>
      <c r="X23" s="212" t="b">
        <v>0</v>
      </c>
      <c r="Y23" s="212" t="b">
        <v>0</v>
      </c>
      <c r="Z23" s="212" t="b">
        <v>0</v>
      </c>
      <c r="AA23" s="212" t="b">
        <v>0</v>
      </c>
      <c r="AB23" s="212" t="b">
        <v>0</v>
      </c>
      <c r="AC23" s="212" t="b">
        <v>0</v>
      </c>
      <c r="AD23" s="247">
        <f>COUNTIF(Match_Attendance[[#This Row],[Alf M]:[Ronnie D]],"Y")</f>
        <v>0</v>
      </c>
    </row>
    <row r="24" spans="1:30" s="16" customFormat="1" ht="16" customHeight="1" x14ac:dyDescent="0.35">
      <c r="A24" s="225">
        <f>Fixtures[[#This Row],[Date]]</f>
        <v>46425</v>
      </c>
      <c r="B24" s="220">
        <f>Match_Attendance[[#This Row],[Date]]</f>
        <v>46425</v>
      </c>
      <c r="C24" s="234">
        <f>Fixtures[[#This Row],[Opposition]]</f>
        <v>0</v>
      </c>
      <c r="D24" s="212" t="b">
        <v>0</v>
      </c>
      <c r="E24" s="212" t="b">
        <v>0</v>
      </c>
      <c r="F24" s="212" t="b">
        <v>0</v>
      </c>
      <c r="G24" s="212" t="b">
        <v>0</v>
      </c>
      <c r="H24" s="212" t="b">
        <v>0</v>
      </c>
      <c r="I24" s="212" t="b">
        <v>0</v>
      </c>
      <c r="J24" s="212" t="b">
        <v>0</v>
      </c>
      <c r="K24" s="212" t="b">
        <v>0</v>
      </c>
      <c r="L24" s="212" t="b">
        <v>0</v>
      </c>
      <c r="M24" s="212" t="b">
        <v>0</v>
      </c>
      <c r="N24" s="212" t="b">
        <v>0</v>
      </c>
      <c r="O24" s="212" t="b">
        <v>0</v>
      </c>
      <c r="P24" s="212" t="b">
        <v>0</v>
      </c>
      <c r="Q24" s="212" t="b">
        <v>0</v>
      </c>
      <c r="R24" s="212" t="b">
        <v>0</v>
      </c>
      <c r="S24" s="212" t="b">
        <v>0</v>
      </c>
      <c r="T24" s="213" t="b">
        <v>0</v>
      </c>
      <c r="U24" s="212" t="b">
        <v>0</v>
      </c>
      <c r="V24" s="212" t="b">
        <v>0</v>
      </c>
      <c r="W24" s="212" t="b">
        <v>0</v>
      </c>
      <c r="X24" s="212" t="b">
        <v>0</v>
      </c>
      <c r="Y24" s="212" t="b">
        <v>0</v>
      </c>
      <c r="Z24" s="212" t="b">
        <v>0</v>
      </c>
      <c r="AA24" s="212" t="b">
        <v>0</v>
      </c>
      <c r="AB24" s="212" t="b">
        <v>0</v>
      </c>
      <c r="AC24" s="212" t="b">
        <v>0</v>
      </c>
      <c r="AD24" s="247">
        <f>COUNTIF(Match_Attendance[[#This Row],[Alf M]:[Ronnie D]],"Y")</f>
        <v>0</v>
      </c>
    </row>
    <row r="25" spans="1:30" s="16" customFormat="1" ht="16" customHeight="1" x14ac:dyDescent="0.35">
      <c r="A25" s="225">
        <f>Fixtures[[#This Row],[Date]]</f>
        <v>46432</v>
      </c>
      <c r="B25" s="220">
        <f>Match_Attendance[[#This Row],[Date]]</f>
        <v>46432</v>
      </c>
      <c r="C25" s="234">
        <f>Fixtures[[#This Row],[Opposition]]</f>
        <v>0</v>
      </c>
      <c r="D25" s="212" t="b">
        <v>0</v>
      </c>
      <c r="E25" s="212" t="b">
        <v>0</v>
      </c>
      <c r="F25" s="212" t="b">
        <v>0</v>
      </c>
      <c r="G25" s="212" t="b">
        <v>0</v>
      </c>
      <c r="H25" s="212" t="b">
        <v>0</v>
      </c>
      <c r="I25" s="212" t="b">
        <v>0</v>
      </c>
      <c r="J25" s="212" t="b">
        <v>0</v>
      </c>
      <c r="K25" s="212" t="b">
        <v>0</v>
      </c>
      <c r="L25" s="212" t="b">
        <v>0</v>
      </c>
      <c r="M25" s="212" t="b">
        <v>0</v>
      </c>
      <c r="N25" s="212" t="b">
        <v>0</v>
      </c>
      <c r="O25" s="212" t="b">
        <v>0</v>
      </c>
      <c r="P25" s="212" t="b">
        <v>0</v>
      </c>
      <c r="Q25" s="212" t="b">
        <v>0</v>
      </c>
      <c r="R25" s="212" t="b">
        <v>0</v>
      </c>
      <c r="S25" s="212" t="b">
        <v>0</v>
      </c>
      <c r="T25" s="213" t="b">
        <v>0</v>
      </c>
      <c r="U25" s="212" t="b">
        <v>0</v>
      </c>
      <c r="V25" s="212" t="b">
        <v>0</v>
      </c>
      <c r="W25" s="212" t="b">
        <v>0</v>
      </c>
      <c r="X25" s="212" t="b">
        <v>0</v>
      </c>
      <c r="Y25" s="212" t="b">
        <v>0</v>
      </c>
      <c r="Z25" s="212" t="b">
        <v>0</v>
      </c>
      <c r="AA25" s="212" t="b">
        <v>0</v>
      </c>
      <c r="AB25" s="212" t="b">
        <v>0</v>
      </c>
      <c r="AC25" s="212" t="b">
        <v>0</v>
      </c>
      <c r="AD25" s="247">
        <f>COUNTIF(Match_Attendance[[#This Row],[Alf M]:[Ronnie D]],"Y")</f>
        <v>0</v>
      </c>
    </row>
    <row r="26" spans="1:30" ht="16" customHeight="1" x14ac:dyDescent="0.35">
      <c r="A26" s="225">
        <f>Fixtures[[#This Row],[Date]]</f>
        <v>46439</v>
      </c>
      <c r="B26" s="220">
        <f>Match_Attendance[[#This Row],[Date]]</f>
        <v>46439</v>
      </c>
      <c r="C26" s="234">
        <f>Fixtures[[#This Row],[Opposition]]</f>
        <v>0</v>
      </c>
      <c r="D26" s="212" t="b">
        <v>0</v>
      </c>
      <c r="E26" s="212" t="b">
        <v>0</v>
      </c>
      <c r="F26" s="212" t="b">
        <v>0</v>
      </c>
      <c r="G26" s="212" t="b">
        <v>0</v>
      </c>
      <c r="H26" s="212" t="b">
        <v>0</v>
      </c>
      <c r="I26" s="212" t="b">
        <v>0</v>
      </c>
      <c r="J26" s="212" t="b">
        <v>0</v>
      </c>
      <c r="K26" s="212" t="b">
        <v>0</v>
      </c>
      <c r="L26" s="212" t="b">
        <v>0</v>
      </c>
      <c r="M26" s="212" t="b">
        <v>0</v>
      </c>
      <c r="N26" s="212" t="b">
        <v>0</v>
      </c>
      <c r="O26" s="212" t="b">
        <v>0</v>
      </c>
      <c r="P26" s="212" t="b">
        <v>0</v>
      </c>
      <c r="Q26" s="212" t="b">
        <v>0</v>
      </c>
      <c r="R26" s="212" t="b">
        <v>0</v>
      </c>
      <c r="S26" s="212" t="b">
        <v>0</v>
      </c>
      <c r="T26" s="212" t="b">
        <v>0</v>
      </c>
      <c r="U26" s="212" t="b">
        <v>0</v>
      </c>
      <c r="V26" s="212" t="b">
        <v>0</v>
      </c>
      <c r="W26" s="212" t="b">
        <v>0</v>
      </c>
      <c r="X26" s="212" t="b">
        <v>0</v>
      </c>
      <c r="Y26" s="212" t="b">
        <v>0</v>
      </c>
      <c r="Z26" s="212" t="b">
        <v>0</v>
      </c>
      <c r="AA26" s="212" t="b">
        <v>0</v>
      </c>
      <c r="AB26" s="212" t="b">
        <v>0</v>
      </c>
      <c r="AC26" s="212" t="b">
        <v>0</v>
      </c>
      <c r="AD26" s="247">
        <f>COUNTIF(Match_Attendance[[#This Row],[Alf M]:[Ronnie D]],"Y")</f>
        <v>0</v>
      </c>
    </row>
    <row r="27" spans="1:30" ht="16" customHeight="1" x14ac:dyDescent="0.35">
      <c r="A27" s="225">
        <f>Fixtures[[#This Row],[Date]]</f>
        <v>46446</v>
      </c>
      <c r="B27" s="220">
        <f>Match_Attendance[[#This Row],[Date]]</f>
        <v>46446</v>
      </c>
      <c r="C27" s="234">
        <f>Fixtures[[#This Row],[Opposition]]</f>
        <v>0</v>
      </c>
      <c r="D27" s="212" t="b">
        <v>0</v>
      </c>
      <c r="E27" s="212" t="b">
        <v>0</v>
      </c>
      <c r="F27" s="212" t="b">
        <v>0</v>
      </c>
      <c r="G27" s="212" t="b">
        <v>0</v>
      </c>
      <c r="H27" s="212" t="b">
        <v>0</v>
      </c>
      <c r="I27" s="212" t="b">
        <v>0</v>
      </c>
      <c r="J27" s="212" t="b">
        <v>0</v>
      </c>
      <c r="K27" s="212" t="b">
        <v>0</v>
      </c>
      <c r="L27" s="212" t="b">
        <v>0</v>
      </c>
      <c r="M27" s="212" t="b">
        <v>0</v>
      </c>
      <c r="N27" s="212" t="b">
        <v>0</v>
      </c>
      <c r="O27" s="212" t="b">
        <v>0</v>
      </c>
      <c r="P27" s="212" t="b">
        <v>0</v>
      </c>
      <c r="Q27" s="212" t="b">
        <v>0</v>
      </c>
      <c r="R27" s="212" t="b">
        <v>0</v>
      </c>
      <c r="S27" s="212" t="b">
        <v>0</v>
      </c>
      <c r="T27" s="212" t="b">
        <v>0</v>
      </c>
      <c r="U27" s="212" t="b">
        <v>0</v>
      </c>
      <c r="V27" s="212" t="b">
        <v>0</v>
      </c>
      <c r="W27" s="212" t="b">
        <v>0</v>
      </c>
      <c r="X27" s="212" t="b">
        <v>0</v>
      </c>
      <c r="Y27" s="212" t="b">
        <v>0</v>
      </c>
      <c r="Z27" s="212" t="b">
        <v>0</v>
      </c>
      <c r="AA27" s="212" t="b">
        <v>0</v>
      </c>
      <c r="AB27" s="212" t="b">
        <v>0</v>
      </c>
      <c r="AC27" s="212" t="b">
        <v>0</v>
      </c>
      <c r="AD27" s="247">
        <f>COUNTIF(Match_Attendance[[#This Row],[Alf M]:[Ronnie D]],"Y")</f>
        <v>0</v>
      </c>
    </row>
    <row r="28" spans="1:30" ht="16" customHeight="1" x14ac:dyDescent="0.35">
      <c r="A28" s="225">
        <f>Fixtures[[#This Row],[Date]]</f>
        <v>46453</v>
      </c>
      <c r="B28" s="220">
        <f>Match_Attendance[[#This Row],[Date]]</f>
        <v>46453</v>
      </c>
      <c r="C28" s="234">
        <f>Fixtures[[#This Row],[Opposition]]</f>
        <v>0</v>
      </c>
      <c r="D28" s="212" t="b">
        <v>0</v>
      </c>
      <c r="E28" s="212" t="b">
        <v>0</v>
      </c>
      <c r="F28" s="212" t="b">
        <v>0</v>
      </c>
      <c r="G28" s="212" t="b">
        <v>0</v>
      </c>
      <c r="H28" s="212" t="b">
        <v>0</v>
      </c>
      <c r="I28" s="212" t="b">
        <v>0</v>
      </c>
      <c r="J28" s="212" t="b">
        <v>0</v>
      </c>
      <c r="K28" s="212" t="b">
        <v>0</v>
      </c>
      <c r="L28" s="212" t="b">
        <v>0</v>
      </c>
      <c r="M28" s="212" t="b">
        <v>0</v>
      </c>
      <c r="N28" s="212" t="b">
        <v>0</v>
      </c>
      <c r="O28" s="212" t="b">
        <v>0</v>
      </c>
      <c r="P28" s="212" t="b">
        <v>0</v>
      </c>
      <c r="Q28" s="212" t="b">
        <v>0</v>
      </c>
      <c r="R28" s="212" t="b">
        <v>0</v>
      </c>
      <c r="S28" s="212" t="b">
        <v>0</v>
      </c>
      <c r="T28" s="212" t="b">
        <v>0</v>
      </c>
      <c r="U28" s="212" t="b">
        <v>0</v>
      </c>
      <c r="V28" s="212" t="b">
        <v>0</v>
      </c>
      <c r="W28" s="212" t="b">
        <v>0</v>
      </c>
      <c r="X28" s="212" t="b">
        <v>0</v>
      </c>
      <c r="Y28" s="212" t="b">
        <v>0</v>
      </c>
      <c r="Z28" s="212" t="b">
        <v>0</v>
      </c>
      <c r="AA28" s="212" t="b">
        <v>0</v>
      </c>
      <c r="AB28" s="212" t="b">
        <v>0</v>
      </c>
      <c r="AC28" s="212" t="b">
        <v>0</v>
      </c>
      <c r="AD28" s="247">
        <f>COUNTIF(Match_Attendance[[#This Row],[Alf M]:[Ronnie D]],"Y")</f>
        <v>0</v>
      </c>
    </row>
    <row r="29" spans="1:30" ht="16" customHeight="1" x14ac:dyDescent="0.35">
      <c r="A29" s="225">
        <f>Fixtures[[#This Row],[Date]]</f>
        <v>46460</v>
      </c>
      <c r="B29" s="220">
        <f>Match_Attendance[[#This Row],[Date]]</f>
        <v>46460</v>
      </c>
      <c r="C29" s="234">
        <f>Fixtures[[#This Row],[Opposition]]</f>
        <v>0</v>
      </c>
      <c r="D29" s="214" t="b">
        <v>0</v>
      </c>
      <c r="E29" s="214" t="b">
        <v>0</v>
      </c>
      <c r="F29" s="214" t="b">
        <v>0</v>
      </c>
      <c r="G29" s="214" t="b">
        <v>0</v>
      </c>
      <c r="H29" s="214" t="b">
        <v>0</v>
      </c>
      <c r="I29" s="214" t="b">
        <v>0</v>
      </c>
      <c r="J29" s="214" t="b">
        <v>0</v>
      </c>
      <c r="K29" s="214" t="b">
        <v>0</v>
      </c>
      <c r="L29" s="214" t="b">
        <v>0</v>
      </c>
      <c r="M29" s="214" t="b">
        <v>0</v>
      </c>
      <c r="N29" s="214" t="b">
        <v>0</v>
      </c>
      <c r="O29" s="214" t="b">
        <v>0</v>
      </c>
      <c r="P29" s="214" t="b">
        <v>0</v>
      </c>
      <c r="Q29" s="214" t="b">
        <v>0</v>
      </c>
      <c r="R29" s="214" t="b">
        <v>0</v>
      </c>
      <c r="S29" s="214" t="b">
        <v>0</v>
      </c>
      <c r="T29" s="214" t="b">
        <v>0</v>
      </c>
      <c r="U29" s="214" t="b">
        <v>0</v>
      </c>
      <c r="V29" s="214" t="b">
        <v>0</v>
      </c>
      <c r="W29" s="214" t="b">
        <v>0</v>
      </c>
      <c r="X29" s="214" t="b">
        <v>0</v>
      </c>
      <c r="Y29" s="214" t="b">
        <v>0</v>
      </c>
      <c r="Z29" s="216" t="b">
        <v>0</v>
      </c>
      <c r="AA29" s="216" t="b">
        <v>0</v>
      </c>
      <c r="AB29" s="216" t="b">
        <v>0</v>
      </c>
      <c r="AC29" s="216" t="b">
        <v>0</v>
      </c>
      <c r="AD29" s="247">
        <f>COUNTIF(Match_Attendance[[#This Row],[Alf M]:[Ronnie D]],"Y")</f>
        <v>0</v>
      </c>
    </row>
    <row r="30" spans="1:30" ht="16" customHeight="1" x14ac:dyDescent="0.35">
      <c r="A30" s="225">
        <f>Fixtures[[#This Row],[Date]]</f>
        <v>46467</v>
      </c>
      <c r="B30" s="220">
        <f>Match_Attendance[[#This Row],[Date]]</f>
        <v>46467</v>
      </c>
      <c r="C30" s="234">
        <f>Fixtures[[#This Row],[Opposition]]</f>
        <v>0</v>
      </c>
      <c r="D30" s="212" t="b">
        <v>0</v>
      </c>
      <c r="E30" s="212" t="b">
        <v>0</v>
      </c>
      <c r="F30" s="212" t="b">
        <v>0</v>
      </c>
      <c r="G30" s="212" t="b">
        <v>0</v>
      </c>
      <c r="H30" s="212" t="b">
        <v>0</v>
      </c>
      <c r="I30" s="212" t="b">
        <v>0</v>
      </c>
      <c r="J30" s="212" t="b">
        <v>0</v>
      </c>
      <c r="K30" s="212" t="b">
        <v>0</v>
      </c>
      <c r="L30" s="212" t="b">
        <v>0</v>
      </c>
      <c r="M30" s="212" t="b">
        <v>0</v>
      </c>
      <c r="N30" s="212" t="b">
        <v>0</v>
      </c>
      <c r="O30" s="212" t="b">
        <v>0</v>
      </c>
      <c r="P30" s="212" t="b">
        <v>0</v>
      </c>
      <c r="Q30" s="212" t="b">
        <v>0</v>
      </c>
      <c r="R30" s="212" t="b">
        <v>0</v>
      </c>
      <c r="S30" s="212" t="b">
        <v>0</v>
      </c>
      <c r="T30" s="212" t="b">
        <v>0</v>
      </c>
      <c r="U30" s="212" t="b">
        <v>0</v>
      </c>
      <c r="V30" s="212" t="b">
        <v>0</v>
      </c>
      <c r="W30" s="212" t="b">
        <v>0</v>
      </c>
      <c r="X30" s="212" t="b">
        <v>0</v>
      </c>
      <c r="Y30" s="212" t="b">
        <v>0</v>
      </c>
      <c r="Z30" s="212" t="b">
        <v>0</v>
      </c>
      <c r="AA30" s="212" t="b">
        <v>0</v>
      </c>
      <c r="AB30" s="212" t="b">
        <v>0</v>
      </c>
      <c r="AC30" s="212" t="b">
        <v>0</v>
      </c>
      <c r="AD30" s="247">
        <f>COUNTIF(Match_Attendance[[#This Row],[Alf M]:[Ronnie D]],"Y")</f>
        <v>0</v>
      </c>
    </row>
    <row r="31" spans="1:30" ht="16" customHeight="1" x14ac:dyDescent="0.35">
      <c r="A31" s="225">
        <f>Fixtures[[#This Row],[Date]]</f>
        <v>46474</v>
      </c>
      <c r="B31" s="220">
        <f>Match_Attendance[[#This Row],[Date]]</f>
        <v>46474</v>
      </c>
      <c r="C31" s="234">
        <f>Fixtures[[#This Row],[Opposition]]</f>
        <v>0</v>
      </c>
      <c r="D31" s="212" t="b">
        <v>0</v>
      </c>
      <c r="E31" s="212" t="b">
        <v>0</v>
      </c>
      <c r="F31" s="212" t="b">
        <v>0</v>
      </c>
      <c r="G31" s="212" t="b">
        <v>0</v>
      </c>
      <c r="H31" s="212" t="b">
        <v>0</v>
      </c>
      <c r="I31" s="212" t="b">
        <v>0</v>
      </c>
      <c r="J31" s="212" t="b">
        <v>0</v>
      </c>
      <c r="K31" s="212" t="b">
        <v>0</v>
      </c>
      <c r="L31" s="212" t="b">
        <v>0</v>
      </c>
      <c r="M31" s="212" t="b">
        <v>0</v>
      </c>
      <c r="N31" s="212" t="b">
        <v>0</v>
      </c>
      <c r="O31" s="212" t="b">
        <v>0</v>
      </c>
      <c r="P31" s="212" t="b">
        <v>0</v>
      </c>
      <c r="Q31" s="212" t="b">
        <v>0</v>
      </c>
      <c r="R31" s="212" t="b">
        <v>0</v>
      </c>
      <c r="S31" s="212" t="b">
        <v>0</v>
      </c>
      <c r="T31" s="212" t="b">
        <v>0</v>
      </c>
      <c r="U31" s="212" t="b">
        <v>0</v>
      </c>
      <c r="V31" s="212" t="b">
        <v>0</v>
      </c>
      <c r="W31" s="212" t="b">
        <v>0</v>
      </c>
      <c r="X31" s="212" t="b">
        <v>0</v>
      </c>
      <c r="Y31" s="212" t="b">
        <v>0</v>
      </c>
      <c r="Z31" s="212" t="b">
        <v>0</v>
      </c>
      <c r="AA31" s="212" t="b">
        <v>0</v>
      </c>
      <c r="AB31" s="212" t="b">
        <v>0</v>
      </c>
      <c r="AC31" s="212" t="b">
        <v>0</v>
      </c>
      <c r="AD31" s="247">
        <f>COUNTIF(Match_Attendance[[#This Row],[Alf M]:[Ronnie D]],"Y")</f>
        <v>0</v>
      </c>
    </row>
    <row r="32" spans="1:30" ht="16" customHeight="1" x14ac:dyDescent="0.35">
      <c r="A32" s="225">
        <f>Fixtures[[#This Row],[Date]]</f>
        <v>46481</v>
      </c>
      <c r="B32" s="220">
        <f>Match_Attendance[[#This Row],[Date]]</f>
        <v>46481</v>
      </c>
      <c r="C32" s="234">
        <f>Fixtures[[#This Row],[Opposition]]</f>
        <v>0</v>
      </c>
      <c r="D32" s="212" t="b">
        <v>0</v>
      </c>
      <c r="E32" s="212" t="b">
        <v>0</v>
      </c>
      <c r="F32" s="212" t="b">
        <v>0</v>
      </c>
      <c r="G32" s="212" t="b">
        <v>0</v>
      </c>
      <c r="H32" s="212" t="b">
        <v>0</v>
      </c>
      <c r="I32" s="212" t="b">
        <v>0</v>
      </c>
      <c r="J32" s="212" t="b">
        <v>0</v>
      </c>
      <c r="K32" s="212" t="b">
        <v>0</v>
      </c>
      <c r="L32" s="212" t="b">
        <v>0</v>
      </c>
      <c r="M32" s="212" t="b">
        <v>0</v>
      </c>
      <c r="N32" s="212" t="b">
        <v>0</v>
      </c>
      <c r="O32" s="212" t="b">
        <v>0</v>
      </c>
      <c r="P32" s="212" t="b">
        <v>0</v>
      </c>
      <c r="Q32" s="212" t="b">
        <v>0</v>
      </c>
      <c r="R32" s="212" t="b">
        <v>0</v>
      </c>
      <c r="S32" s="212" t="b">
        <v>0</v>
      </c>
      <c r="T32" s="212" t="b">
        <v>0</v>
      </c>
      <c r="U32" s="212" t="b">
        <v>0</v>
      </c>
      <c r="V32" s="212" t="b">
        <v>0</v>
      </c>
      <c r="W32" s="212" t="b">
        <v>0</v>
      </c>
      <c r="X32" s="212" t="b">
        <v>0</v>
      </c>
      <c r="Y32" s="212" t="b">
        <v>0</v>
      </c>
      <c r="Z32" s="212" t="b">
        <v>0</v>
      </c>
      <c r="AA32" s="212" t="b">
        <v>0</v>
      </c>
      <c r="AB32" s="212" t="b">
        <v>0</v>
      </c>
      <c r="AC32" s="212" t="b">
        <v>0</v>
      </c>
      <c r="AD32" s="247">
        <f>COUNTIF(Match_Attendance[[#This Row],[Alf M]:[Ronnie D]],"Y")</f>
        <v>0</v>
      </c>
    </row>
    <row r="33" spans="1:30" ht="16" customHeight="1" x14ac:dyDescent="0.35">
      <c r="A33" s="225">
        <f>Fixtures[[#This Row],[Date]]</f>
        <v>46488</v>
      </c>
      <c r="B33" s="220">
        <f>Match_Attendance[[#This Row],[Date]]</f>
        <v>46488</v>
      </c>
      <c r="C33" s="234">
        <f>Fixtures[[#This Row],[Opposition]]</f>
        <v>0</v>
      </c>
      <c r="D33" s="212" t="b">
        <v>0</v>
      </c>
      <c r="E33" s="212" t="b">
        <v>0</v>
      </c>
      <c r="F33" s="212" t="b">
        <v>0</v>
      </c>
      <c r="G33" s="212" t="b">
        <v>0</v>
      </c>
      <c r="H33" s="212" t="b">
        <v>0</v>
      </c>
      <c r="I33" s="212" t="b">
        <v>0</v>
      </c>
      <c r="J33" s="212" t="b">
        <v>0</v>
      </c>
      <c r="K33" s="212" t="b">
        <v>0</v>
      </c>
      <c r="L33" s="212" t="b">
        <v>0</v>
      </c>
      <c r="M33" s="212" t="b">
        <v>0</v>
      </c>
      <c r="N33" s="212" t="b">
        <v>0</v>
      </c>
      <c r="O33" s="212" t="b">
        <v>0</v>
      </c>
      <c r="P33" s="212" t="b">
        <v>0</v>
      </c>
      <c r="Q33" s="212" t="b">
        <v>0</v>
      </c>
      <c r="R33" s="212" t="b">
        <v>0</v>
      </c>
      <c r="S33" s="212" t="b">
        <v>0</v>
      </c>
      <c r="T33" s="212" t="b">
        <v>0</v>
      </c>
      <c r="U33" s="212" t="b">
        <v>0</v>
      </c>
      <c r="V33" s="212" t="b">
        <v>0</v>
      </c>
      <c r="W33" s="212" t="b">
        <v>0</v>
      </c>
      <c r="X33" s="212" t="b">
        <v>0</v>
      </c>
      <c r="Y33" s="212" t="b">
        <v>0</v>
      </c>
      <c r="Z33" s="212" t="b">
        <v>0</v>
      </c>
      <c r="AA33" s="212" t="b">
        <v>0</v>
      </c>
      <c r="AB33" s="212" t="b">
        <v>0</v>
      </c>
      <c r="AC33" s="212" t="b">
        <v>0</v>
      </c>
      <c r="AD33" s="247">
        <f>COUNTIF(Match_Attendance[[#This Row],[Alf M]:[Ronnie D]],"Y")</f>
        <v>0</v>
      </c>
    </row>
    <row r="34" spans="1:30" ht="16" customHeight="1" x14ac:dyDescent="0.35">
      <c r="A34" s="225">
        <f>Fixtures[[#This Row],[Date]]</f>
        <v>46495</v>
      </c>
      <c r="B34" s="220">
        <f>Match_Attendance[[#This Row],[Date]]</f>
        <v>46495</v>
      </c>
      <c r="C34" s="234">
        <f>Fixtures[[#This Row],[Opposition]]</f>
        <v>0</v>
      </c>
      <c r="D34" s="212" t="b">
        <v>0</v>
      </c>
      <c r="E34" s="212" t="b">
        <v>0</v>
      </c>
      <c r="F34" s="212" t="b">
        <v>0</v>
      </c>
      <c r="G34" s="212" t="b">
        <v>0</v>
      </c>
      <c r="H34" s="212" t="b">
        <v>0</v>
      </c>
      <c r="I34" s="212" t="b">
        <v>0</v>
      </c>
      <c r="J34" s="212" t="b">
        <v>0</v>
      </c>
      <c r="K34" s="212" t="b">
        <v>0</v>
      </c>
      <c r="L34" s="212" t="b">
        <v>0</v>
      </c>
      <c r="M34" s="212" t="b">
        <v>0</v>
      </c>
      <c r="N34" s="212" t="b">
        <v>0</v>
      </c>
      <c r="O34" s="212" t="b">
        <v>0</v>
      </c>
      <c r="P34" s="212" t="b">
        <v>0</v>
      </c>
      <c r="Q34" s="212" t="b">
        <v>0</v>
      </c>
      <c r="R34" s="212" t="b">
        <v>0</v>
      </c>
      <c r="S34" s="212" t="b">
        <v>0</v>
      </c>
      <c r="T34" s="212" t="b">
        <v>0</v>
      </c>
      <c r="U34" s="212" t="b">
        <v>0</v>
      </c>
      <c r="V34" s="212" t="b">
        <v>0</v>
      </c>
      <c r="W34" s="212" t="b">
        <v>0</v>
      </c>
      <c r="X34" s="212" t="b">
        <v>0</v>
      </c>
      <c r="Y34" s="212" t="b">
        <v>0</v>
      </c>
      <c r="Z34" s="212" t="b">
        <v>0</v>
      </c>
      <c r="AA34" s="212" t="b">
        <v>0</v>
      </c>
      <c r="AB34" s="212" t="b">
        <v>0</v>
      </c>
      <c r="AC34" s="212" t="b">
        <v>0</v>
      </c>
      <c r="AD34" s="247">
        <f>COUNTIF(Match_Attendance[[#This Row],[Alf M]:[Ronnie D]],"Y")</f>
        <v>0</v>
      </c>
    </row>
    <row r="35" spans="1:30" ht="16" customHeight="1" x14ac:dyDescent="0.35">
      <c r="A35" s="225">
        <f>Fixtures[[#This Row],[Date]]</f>
        <v>46502</v>
      </c>
      <c r="B35" s="220">
        <f>Match_Attendance[[#This Row],[Date]]</f>
        <v>46502</v>
      </c>
      <c r="C35" s="234">
        <f>Fixtures[[#This Row],[Opposition]]</f>
        <v>0</v>
      </c>
      <c r="D35" s="212" t="b">
        <v>0</v>
      </c>
      <c r="E35" s="212" t="b">
        <v>0</v>
      </c>
      <c r="F35" s="212" t="b">
        <v>0</v>
      </c>
      <c r="G35" s="212" t="b">
        <v>0</v>
      </c>
      <c r="H35" s="212" t="b">
        <v>0</v>
      </c>
      <c r="I35" s="212" t="b">
        <v>0</v>
      </c>
      <c r="J35" s="212" t="b">
        <v>0</v>
      </c>
      <c r="K35" s="212" t="b">
        <v>0</v>
      </c>
      <c r="L35" s="212" t="b">
        <v>0</v>
      </c>
      <c r="M35" s="212" t="b">
        <v>0</v>
      </c>
      <c r="N35" s="212" t="b">
        <v>0</v>
      </c>
      <c r="O35" s="212" t="b">
        <v>0</v>
      </c>
      <c r="P35" s="212" t="b">
        <v>0</v>
      </c>
      <c r="Q35" s="212" t="b">
        <v>0</v>
      </c>
      <c r="R35" s="212" t="b">
        <v>0</v>
      </c>
      <c r="S35" s="212" t="b">
        <v>0</v>
      </c>
      <c r="T35" s="212" t="b">
        <v>0</v>
      </c>
      <c r="U35" s="212" t="b">
        <v>0</v>
      </c>
      <c r="V35" s="212" t="b">
        <v>0</v>
      </c>
      <c r="W35" s="212" t="b">
        <v>0</v>
      </c>
      <c r="X35" s="212" t="b">
        <v>0</v>
      </c>
      <c r="Y35" s="212" t="b">
        <v>0</v>
      </c>
      <c r="Z35" s="212" t="b">
        <v>0</v>
      </c>
      <c r="AA35" s="212" t="b">
        <v>0</v>
      </c>
      <c r="AB35" s="212" t="b">
        <v>0</v>
      </c>
      <c r="AC35" s="212" t="b">
        <v>0</v>
      </c>
      <c r="AD35" s="247">
        <f>COUNTIF(Match_Attendance[[#This Row],[Alf M]:[Ronnie D]],"Y")</f>
        <v>0</v>
      </c>
    </row>
    <row r="36" spans="1:30" ht="16" customHeight="1" x14ac:dyDescent="0.35">
      <c r="A36" s="225">
        <f>Fixtures[[#This Row],[Date]]</f>
        <v>46509</v>
      </c>
      <c r="B36" s="220">
        <f>Match_Attendance[[#This Row],[Date]]</f>
        <v>46509</v>
      </c>
      <c r="C36" s="234">
        <f>Fixtures[[#This Row],[Opposition]]</f>
        <v>0</v>
      </c>
      <c r="D36" s="212" t="b">
        <v>0</v>
      </c>
      <c r="E36" s="212" t="b">
        <v>0</v>
      </c>
      <c r="F36" s="212" t="b">
        <v>0</v>
      </c>
      <c r="G36" s="212" t="b">
        <v>0</v>
      </c>
      <c r="H36" s="212" t="b">
        <v>0</v>
      </c>
      <c r="I36" s="212" t="b">
        <v>0</v>
      </c>
      <c r="J36" s="212" t="b">
        <v>0</v>
      </c>
      <c r="K36" s="213" t="b">
        <v>0</v>
      </c>
      <c r="L36" s="212" t="b">
        <v>0</v>
      </c>
      <c r="M36" s="212" t="b">
        <v>0</v>
      </c>
      <c r="N36" s="212" t="b">
        <v>0</v>
      </c>
      <c r="O36" s="212" t="b">
        <v>0</v>
      </c>
      <c r="P36" s="212" t="b">
        <v>0</v>
      </c>
      <c r="Q36" s="212" t="b">
        <v>0</v>
      </c>
      <c r="R36" s="212" t="b">
        <v>0</v>
      </c>
      <c r="S36" s="212" t="b">
        <v>0</v>
      </c>
      <c r="T36" s="212" t="b">
        <v>0</v>
      </c>
      <c r="U36" s="212" t="b">
        <v>0</v>
      </c>
      <c r="V36" s="212" t="b">
        <v>0</v>
      </c>
      <c r="W36" s="212" t="b">
        <v>0</v>
      </c>
      <c r="X36" s="212" t="b">
        <v>0</v>
      </c>
      <c r="Y36" s="212" t="b">
        <v>0</v>
      </c>
      <c r="Z36" s="212" t="b">
        <v>0</v>
      </c>
      <c r="AA36" s="212" t="b">
        <v>0</v>
      </c>
      <c r="AB36" s="212" t="b">
        <v>0</v>
      </c>
      <c r="AC36" s="212" t="b">
        <v>0</v>
      </c>
      <c r="AD36" s="247">
        <f>COUNTIF(Match_Attendance[[#This Row],[Alf M]:[Ronnie D]],"Y")</f>
        <v>0</v>
      </c>
    </row>
    <row r="37" spans="1:30" ht="16" customHeight="1" x14ac:dyDescent="0.35">
      <c r="A37" s="225">
        <f>Fixtures[[#This Row],[Date]]</f>
        <v>46516</v>
      </c>
      <c r="B37" s="220">
        <f>Match_Attendance[[#This Row],[Date]]</f>
        <v>46516</v>
      </c>
      <c r="C37" s="234">
        <f>Fixtures[[#This Row],[Opposition]]</f>
        <v>0</v>
      </c>
      <c r="D37" s="212" t="b">
        <v>0</v>
      </c>
      <c r="E37" s="212" t="b">
        <v>0</v>
      </c>
      <c r="F37" s="212" t="b">
        <v>0</v>
      </c>
      <c r="G37" s="212" t="b">
        <v>0</v>
      </c>
      <c r="H37" s="212" t="b">
        <v>0</v>
      </c>
      <c r="I37" s="212" t="b">
        <v>0</v>
      </c>
      <c r="J37" s="212" t="b">
        <v>0</v>
      </c>
      <c r="K37" s="213" t="b">
        <v>0</v>
      </c>
      <c r="L37" s="212" t="b">
        <v>0</v>
      </c>
      <c r="M37" s="212" t="b">
        <v>0</v>
      </c>
      <c r="N37" s="212" t="b">
        <v>0</v>
      </c>
      <c r="O37" s="212" t="b">
        <v>0</v>
      </c>
      <c r="P37" s="212" t="b">
        <v>0</v>
      </c>
      <c r="Q37" s="212" t="b">
        <v>0</v>
      </c>
      <c r="R37" s="212" t="b">
        <v>0</v>
      </c>
      <c r="S37" s="212" t="b">
        <v>0</v>
      </c>
      <c r="T37" s="212" t="b">
        <v>0</v>
      </c>
      <c r="U37" s="212" t="b">
        <v>0</v>
      </c>
      <c r="V37" s="212" t="b">
        <v>0</v>
      </c>
      <c r="W37" s="212" t="b">
        <v>0</v>
      </c>
      <c r="X37" s="212" t="b">
        <v>0</v>
      </c>
      <c r="Y37" s="212" t="b">
        <v>0</v>
      </c>
      <c r="Z37" s="212" t="b">
        <v>0</v>
      </c>
      <c r="AA37" s="212" t="b">
        <v>0</v>
      </c>
      <c r="AB37" s="212" t="b">
        <v>0</v>
      </c>
      <c r="AC37" s="212" t="b">
        <v>0</v>
      </c>
      <c r="AD37" s="247">
        <f>COUNTIF(Match_Attendance[[#This Row],[Alf M]:[Ronnie D]],"Y")</f>
        <v>0</v>
      </c>
    </row>
    <row r="38" spans="1:30" ht="16" customHeight="1" x14ac:dyDescent="0.35">
      <c r="A38" s="225">
        <f>Fixtures[[#This Row],[Date]]</f>
        <v>46523</v>
      </c>
      <c r="B38" s="220">
        <f>Match_Attendance[[#This Row],[Date]]</f>
        <v>46523</v>
      </c>
      <c r="C38" s="234">
        <f>Fixtures[[#This Row],[Opposition]]</f>
        <v>0</v>
      </c>
      <c r="D38" s="212" t="b">
        <v>0</v>
      </c>
      <c r="E38" s="212" t="b">
        <v>0</v>
      </c>
      <c r="F38" s="212" t="b">
        <v>0</v>
      </c>
      <c r="G38" s="212" t="b">
        <v>0</v>
      </c>
      <c r="H38" s="212" t="b">
        <v>0</v>
      </c>
      <c r="I38" s="212" t="b">
        <v>0</v>
      </c>
      <c r="J38" s="212" t="b">
        <v>0</v>
      </c>
      <c r="K38" s="212" t="b">
        <v>0</v>
      </c>
      <c r="L38" s="212" t="b">
        <v>0</v>
      </c>
      <c r="M38" s="212" t="b">
        <v>0</v>
      </c>
      <c r="N38" s="212" t="b">
        <v>0</v>
      </c>
      <c r="O38" s="212" t="b">
        <v>0</v>
      </c>
      <c r="P38" s="212" t="b">
        <v>0</v>
      </c>
      <c r="Q38" s="212" t="b">
        <v>0</v>
      </c>
      <c r="R38" s="212" t="b">
        <v>0</v>
      </c>
      <c r="S38" s="212" t="b">
        <v>0</v>
      </c>
      <c r="T38" s="212" t="b">
        <v>0</v>
      </c>
      <c r="U38" s="212" t="b">
        <v>0</v>
      </c>
      <c r="V38" s="212" t="b">
        <v>0</v>
      </c>
      <c r="W38" s="212" t="b">
        <v>0</v>
      </c>
      <c r="X38" s="212" t="b">
        <v>0</v>
      </c>
      <c r="Y38" s="212" t="b">
        <v>0</v>
      </c>
      <c r="Z38" s="212" t="b">
        <v>0</v>
      </c>
      <c r="AA38" s="212" t="b">
        <v>0</v>
      </c>
      <c r="AB38" s="212" t="b">
        <v>0</v>
      </c>
      <c r="AC38" s="212" t="b">
        <v>0</v>
      </c>
      <c r="AD38" s="247">
        <f>COUNTIF(Match_Attendance[[#This Row],[Alf M]:[Ronnie D]],"Y")</f>
        <v>0</v>
      </c>
    </row>
    <row r="39" spans="1:30" ht="16" customHeight="1" x14ac:dyDescent="0.35">
      <c r="A39" s="225">
        <f>Fixtures[[#This Row],[Date]]</f>
        <v>46530</v>
      </c>
      <c r="B39" s="220">
        <f>Match_Attendance[[#This Row],[Date]]</f>
        <v>46530</v>
      </c>
      <c r="C39" s="234">
        <f>Fixtures[[#This Row],[Opposition]]</f>
        <v>0</v>
      </c>
      <c r="D39" s="212" t="b">
        <v>0</v>
      </c>
      <c r="E39" s="212" t="b">
        <v>0</v>
      </c>
      <c r="F39" s="212" t="b">
        <v>0</v>
      </c>
      <c r="G39" s="212" t="b">
        <v>0</v>
      </c>
      <c r="H39" s="212" t="b">
        <v>0</v>
      </c>
      <c r="I39" s="212" t="b">
        <v>0</v>
      </c>
      <c r="J39" s="212" t="b">
        <v>0</v>
      </c>
      <c r="K39" s="212" t="b">
        <v>0</v>
      </c>
      <c r="L39" s="212" t="b">
        <v>0</v>
      </c>
      <c r="M39" s="212" t="b">
        <v>0</v>
      </c>
      <c r="N39" s="212" t="b">
        <v>0</v>
      </c>
      <c r="O39" s="212" t="b">
        <v>0</v>
      </c>
      <c r="P39" s="212" t="b">
        <v>0</v>
      </c>
      <c r="Q39" s="212" t="b">
        <v>0</v>
      </c>
      <c r="R39" s="212" t="b">
        <v>0</v>
      </c>
      <c r="S39" s="212" t="b">
        <v>0</v>
      </c>
      <c r="T39" s="212" t="b">
        <v>0</v>
      </c>
      <c r="U39" s="212" t="b">
        <v>0</v>
      </c>
      <c r="V39" s="212" t="b">
        <v>0</v>
      </c>
      <c r="W39" s="212" t="b">
        <v>0</v>
      </c>
      <c r="X39" s="212" t="b">
        <v>0</v>
      </c>
      <c r="Y39" s="212" t="b">
        <v>0</v>
      </c>
      <c r="Z39" s="212" t="b">
        <v>0</v>
      </c>
      <c r="AA39" s="212" t="b">
        <v>0</v>
      </c>
      <c r="AB39" s="212" t="b">
        <v>0</v>
      </c>
      <c r="AC39" s="212" t="b">
        <v>0</v>
      </c>
      <c r="AD39" s="247">
        <f>COUNTIF(Match_Attendance[[#This Row],[Alf M]:[Ronnie D]],"Y")</f>
        <v>0</v>
      </c>
    </row>
    <row r="40" spans="1:30" ht="16" customHeight="1" x14ac:dyDescent="0.35">
      <c r="A40" s="225">
        <f>Fixtures[[#This Row],[Date]]</f>
        <v>46537</v>
      </c>
      <c r="B40" s="220">
        <f>Match_Attendance[[#This Row],[Date]]</f>
        <v>46537</v>
      </c>
      <c r="C40" s="234">
        <f>Fixtures[[#This Row],[Opposition]]</f>
        <v>0</v>
      </c>
      <c r="D40" s="212" t="b">
        <v>0</v>
      </c>
      <c r="E40" s="212" t="b">
        <v>0</v>
      </c>
      <c r="F40" s="212" t="b">
        <v>0</v>
      </c>
      <c r="G40" s="212" t="b">
        <v>0</v>
      </c>
      <c r="H40" s="212" t="b">
        <v>0</v>
      </c>
      <c r="I40" s="212" t="b">
        <v>0</v>
      </c>
      <c r="J40" s="212" t="b">
        <v>0</v>
      </c>
      <c r="K40" s="212" t="b">
        <v>0</v>
      </c>
      <c r="L40" s="212" t="b">
        <v>0</v>
      </c>
      <c r="M40" s="212" t="b">
        <v>0</v>
      </c>
      <c r="N40" s="212" t="b">
        <v>0</v>
      </c>
      <c r="O40" s="212" t="b">
        <v>0</v>
      </c>
      <c r="P40" s="212" t="b">
        <v>0</v>
      </c>
      <c r="Q40" s="212" t="b">
        <v>0</v>
      </c>
      <c r="R40" s="212" t="b">
        <v>0</v>
      </c>
      <c r="S40" s="212" t="b">
        <v>0</v>
      </c>
      <c r="T40" s="212" t="b">
        <v>0</v>
      </c>
      <c r="U40" s="212" t="b">
        <v>0</v>
      </c>
      <c r="V40" s="212" t="b">
        <v>0</v>
      </c>
      <c r="W40" s="212" t="b">
        <v>0</v>
      </c>
      <c r="X40" s="212" t="b">
        <v>0</v>
      </c>
      <c r="Y40" s="215" t="b">
        <v>0</v>
      </c>
      <c r="Z40" s="215" t="b">
        <v>0</v>
      </c>
      <c r="AA40" s="215" t="b">
        <v>0</v>
      </c>
      <c r="AB40" s="215" t="b">
        <v>0</v>
      </c>
      <c r="AC40" s="215" t="b">
        <v>0</v>
      </c>
      <c r="AD40" s="247">
        <f>COUNTIF(Match_Attendance[[#This Row],[Alf M]:[Ronnie D]],"Y")</f>
        <v>0</v>
      </c>
    </row>
    <row r="41" spans="1:30" ht="16" customHeight="1" x14ac:dyDescent="0.35">
      <c r="A41" s="225">
        <f>Fixtures[[#This Row],[Date]]</f>
        <v>46544</v>
      </c>
      <c r="B41" s="220">
        <f>Match_Attendance[[#This Row],[Date]]</f>
        <v>46544</v>
      </c>
      <c r="C41" s="234">
        <f>Fixtures[[#This Row],[Opposition]]</f>
        <v>0</v>
      </c>
      <c r="D41" s="212" t="b">
        <v>0</v>
      </c>
      <c r="E41" s="212" t="b">
        <v>0</v>
      </c>
      <c r="F41" s="212" t="b">
        <v>0</v>
      </c>
      <c r="G41" s="212" t="b">
        <v>0</v>
      </c>
      <c r="H41" s="212" t="b">
        <v>0</v>
      </c>
      <c r="I41" s="212" t="b">
        <v>0</v>
      </c>
      <c r="J41" s="212" t="b">
        <v>0</v>
      </c>
      <c r="K41" s="212" t="b">
        <v>0</v>
      </c>
      <c r="L41" s="212" t="b">
        <v>0</v>
      </c>
      <c r="M41" s="212" t="b">
        <v>0</v>
      </c>
      <c r="N41" s="212" t="b">
        <v>0</v>
      </c>
      <c r="O41" s="212" t="b">
        <v>0</v>
      </c>
      <c r="P41" s="212" t="b">
        <v>0</v>
      </c>
      <c r="Q41" s="212" t="b">
        <v>0</v>
      </c>
      <c r="R41" s="212" t="b">
        <v>0</v>
      </c>
      <c r="S41" s="212" t="b">
        <v>0</v>
      </c>
      <c r="T41" s="212" t="b">
        <v>0</v>
      </c>
      <c r="U41" s="212" t="b">
        <v>0</v>
      </c>
      <c r="V41" s="212" t="b">
        <v>0</v>
      </c>
      <c r="W41" s="212" t="b">
        <v>0</v>
      </c>
      <c r="X41" s="212" t="b">
        <v>0</v>
      </c>
      <c r="Y41" s="215" t="b">
        <v>0</v>
      </c>
      <c r="Z41" s="215" t="b">
        <v>0</v>
      </c>
      <c r="AA41" s="215" t="b">
        <v>0</v>
      </c>
      <c r="AB41" s="215" t="b">
        <v>0</v>
      </c>
      <c r="AC41" s="215" t="b">
        <v>0</v>
      </c>
      <c r="AD41" s="247">
        <f>COUNTIF(Match_Attendance[[#This Row],[Alf M]:[Ronnie D]],"Y")</f>
        <v>0</v>
      </c>
    </row>
    <row r="42" spans="1:30" ht="16" customHeight="1" x14ac:dyDescent="0.35">
      <c r="A42" s="225">
        <f>Fixtures[[#This Row],[Date]]</f>
        <v>46551</v>
      </c>
      <c r="B42" s="220">
        <f>Match_Attendance[[#This Row],[Date]]</f>
        <v>46551</v>
      </c>
      <c r="C42" s="234">
        <f>Fixtures[[#This Row],[Opposition]]</f>
        <v>0</v>
      </c>
      <c r="D42" s="212" t="b">
        <v>0</v>
      </c>
      <c r="E42" s="212" t="b">
        <v>0</v>
      </c>
      <c r="F42" s="212" t="b">
        <v>0</v>
      </c>
      <c r="G42" s="212" t="b">
        <v>0</v>
      </c>
      <c r="H42" s="212" t="b">
        <v>0</v>
      </c>
      <c r="I42" s="212" t="b">
        <v>0</v>
      </c>
      <c r="J42" s="212" t="b">
        <v>0</v>
      </c>
      <c r="K42" s="212" t="b">
        <v>0</v>
      </c>
      <c r="L42" s="212" t="b">
        <v>0</v>
      </c>
      <c r="M42" s="212" t="b">
        <v>0</v>
      </c>
      <c r="N42" s="212" t="b">
        <v>0</v>
      </c>
      <c r="O42" s="212" t="b">
        <v>0</v>
      </c>
      <c r="P42" s="212" t="b">
        <v>0</v>
      </c>
      <c r="Q42" s="212" t="b">
        <v>0</v>
      </c>
      <c r="R42" s="212" t="b">
        <v>0</v>
      </c>
      <c r="S42" s="212" t="b">
        <v>0</v>
      </c>
      <c r="T42" s="212" t="b">
        <v>0</v>
      </c>
      <c r="U42" s="212" t="b">
        <v>0</v>
      </c>
      <c r="V42" s="212" t="b">
        <v>0</v>
      </c>
      <c r="W42" s="212" t="b">
        <v>0</v>
      </c>
      <c r="X42" s="212" t="b">
        <v>0</v>
      </c>
      <c r="Y42" s="215" t="b">
        <v>0</v>
      </c>
      <c r="Z42" s="215" t="b">
        <v>0</v>
      </c>
      <c r="AA42" s="215" t="b">
        <v>0</v>
      </c>
      <c r="AB42" s="215" t="b">
        <v>0</v>
      </c>
      <c r="AC42" s="215" t="b">
        <v>0</v>
      </c>
      <c r="AD42" s="247">
        <f>COUNTIF(Match_Attendance[[#This Row],[Alf M]:[Ronnie D]],"Y")</f>
        <v>0</v>
      </c>
    </row>
    <row r="43" spans="1:30" ht="16" customHeight="1" x14ac:dyDescent="0.35">
      <c r="A43" s="225">
        <f>Fixtures[[#This Row],[Date]]</f>
        <v>46558</v>
      </c>
      <c r="B43" s="220">
        <f>Match_Attendance[[#This Row],[Date]]</f>
        <v>46558</v>
      </c>
      <c r="C43" s="234">
        <f>Fixtures[[#This Row],[Opposition]]</f>
        <v>0</v>
      </c>
      <c r="D43" s="212" t="b">
        <v>0</v>
      </c>
      <c r="E43" s="212" t="b">
        <v>0</v>
      </c>
      <c r="F43" s="212" t="b">
        <v>0</v>
      </c>
      <c r="G43" s="212" t="b">
        <v>0</v>
      </c>
      <c r="H43" s="212" t="b">
        <v>0</v>
      </c>
      <c r="I43" s="212" t="b">
        <v>0</v>
      </c>
      <c r="J43" s="212" t="b">
        <v>0</v>
      </c>
      <c r="K43" s="212" t="b">
        <v>0</v>
      </c>
      <c r="L43" s="212" t="b">
        <v>0</v>
      </c>
      <c r="M43" s="212" t="b">
        <v>0</v>
      </c>
      <c r="N43" s="212" t="b">
        <v>0</v>
      </c>
      <c r="O43" s="212" t="b">
        <v>0</v>
      </c>
      <c r="P43" s="212" t="b">
        <v>0</v>
      </c>
      <c r="Q43" s="212" t="b">
        <v>0</v>
      </c>
      <c r="R43" s="212" t="b">
        <v>0</v>
      </c>
      <c r="S43" s="212" t="b">
        <v>0</v>
      </c>
      <c r="T43" s="212" t="b">
        <v>0</v>
      </c>
      <c r="U43" s="212" t="b">
        <v>0</v>
      </c>
      <c r="V43" s="212" t="b">
        <v>0</v>
      </c>
      <c r="W43" s="212" t="b">
        <v>0</v>
      </c>
      <c r="X43" s="212" t="b">
        <v>0</v>
      </c>
      <c r="Y43" s="215" t="b">
        <v>0</v>
      </c>
      <c r="Z43" s="215" t="b">
        <v>0</v>
      </c>
      <c r="AA43" s="215" t="b">
        <v>0</v>
      </c>
      <c r="AB43" s="215" t="b">
        <v>0</v>
      </c>
      <c r="AC43" s="215" t="b">
        <v>0</v>
      </c>
      <c r="AD43" s="247">
        <f>COUNTIF(Match_Attendance[[#This Row],[Alf M]:[Ronnie D]],"Y")</f>
        <v>0</v>
      </c>
    </row>
    <row r="44" spans="1:30" ht="16" customHeight="1" x14ac:dyDescent="0.35">
      <c r="A44" s="225">
        <f>Fixtures[[#This Row],[Date]]</f>
        <v>46565</v>
      </c>
      <c r="B44" s="220">
        <f>Match_Attendance[[#This Row],[Date]]</f>
        <v>46565</v>
      </c>
      <c r="C44" s="234">
        <f>Fixtures[[#This Row],[Opposition]]</f>
        <v>0</v>
      </c>
      <c r="D44" s="212" t="b">
        <v>0</v>
      </c>
      <c r="E44" s="212" t="b">
        <v>0</v>
      </c>
      <c r="F44" s="212" t="b">
        <v>0</v>
      </c>
      <c r="G44" s="212" t="b">
        <v>0</v>
      </c>
      <c r="H44" s="212" t="b">
        <v>0</v>
      </c>
      <c r="I44" s="212" t="b">
        <v>0</v>
      </c>
      <c r="J44" s="212" t="b">
        <v>0</v>
      </c>
      <c r="K44" s="212" t="b">
        <v>0</v>
      </c>
      <c r="L44" s="212" t="b">
        <v>0</v>
      </c>
      <c r="M44" s="212" t="b">
        <v>0</v>
      </c>
      <c r="N44" s="212" t="b">
        <v>0</v>
      </c>
      <c r="O44" s="212" t="b">
        <v>0</v>
      </c>
      <c r="P44" s="212" t="b">
        <v>0</v>
      </c>
      <c r="Q44" s="212" t="b">
        <v>0</v>
      </c>
      <c r="R44" s="212" t="b">
        <v>0</v>
      </c>
      <c r="S44" s="212" t="b">
        <v>0</v>
      </c>
      <c r="T44" s="212" t="b">
        <v>0</v>
      </c>
      <c r="U44" s="212" t="b">
        <v>0</v>
      </c>
      <c r="V44" s="212" t="b">
        <v>0</v>
      </c>
      <c r="W44" s="212" t="b">
        <v>0</v>
      </c>
      <c r="X44" s="212" t="b">
        <v>0</v>
      </c>
      <c r="Y44" s="215" t="b">
        <v>0</v>
      </c>
      <c r="Z44" s="215" t="b">
        <v>0</v>
      </c>
      <c r="AA44" s="215" t="b">
        <v>0</v>
      </c>
      <c r="AB44" s="215" t="b">
        <v>0</v>
      </c>
      <c r="AC44" s="215" t="b">
        <v>0</v>
      </c>
      <c r="AD44" s="247">
        <f>COUNTIF(Match_Attendance[[#This Row],[Alf M]:[Ronnie D]],"Y")</f>
        <v>0</v>
      </c>
    </row>
    <row r="45" spans="1:30" ht="16" customHeight="1" x14ac:dyDescent="0.35">
      <c r="A45" s="225">
        <f>Fixtures[[#This Row],[Date]]</f>
        <v>46572</v>
      </c>
      <c r="B45" s="220">
        <f>Match_Attendance[[#This Row],[Date]]</f>
        <v>46572</v>
      </c>
      <c r="C45" s="234">
        <f>Fixtures[[#This Row],[Opposition]]</f>
        <v>0</v>
      </c>
      <c r="D45" s="212" t="b">
        <v>0</v>
      </c>
      <c r="E45" s="212" t="b">
        <v>0</v>
      </c>
      <c r="F45" s="212" t="b">
        <v>0</v>
      </c>
      <c r="G45" s="212" t="b">
        <v>0</v>
      </c>
      <c r="H45" s="212" t="b">
        <v>0</v>
      </c>
      <c r="I45" s="212" t="b">
        <v>0</v>
      </c>
      <c r="J45" s="212" t="b">
        <v>0</v>
      </c>
      <c r="K45" s="212" t="b">
        <v>0</v>
      </c>
      <c r="L45" s="212" t="b">
        <v>0</v>
      </c>
      <c r="M45" s="212" t="b">
        <v>0</v>
      </c>
      <c r="N45" s="212" t="b">
        <v>0</v>
      </c>
      <c r="O45" s="212" t="b">
        <v>0</v>
      </c>
      <c r="P45" s="212" t="b">
        <v>0</v>
      </c>
      <c r="Q45" s="212" t="b">
        <v>0</v>
      </c>
      <c r="R45" s="212" t="b">
        <v>0</v>
      </c>
      <c r="S45" s="212" t="b">
        <v>0</v>
      </c>
      <c r="T45" s="212" t="b">
        <v>0</v>
      </c>
      <c r="U45" s="212" t="b">
        <v>0</v>
      </c>
      <c r="V45" s="212" t="b">
        <v>0</v>
      </c>
      <c r="W45" s="212" t="b">
        <v>0</v>
      </c>
      <c r="X45" s="212" t="b">
        <v>0</v>
      </c>
      <c r="Y45" s="215" t="b">
        <v>0</v>
      </c>
      <c r="Z45" s="215" t="b">
        <v>0</v>
      </c>
      <c r="AA45" s="215" t="b">
        <v>0</v>
      </c>
      <c r="AB45" s="215" t="b">
        <v>0</v>
      </c>
      <c r="AC45" s="215" t="b">
        <v>0</v>
      </c>
      <c r="AD45" s="247">
        <f>COUNTIF(Match_Attendance[[#This Row],[Alf M]:[Ronnie D]],"Y")</f>
        <v>0</v>
      </c>
    </row>
    <row r="46" spans="1:30" ht="16" customHeight="1" x14ac:dyDescent="0.35">
      <c r="A46" s="225">
        <f>Fixtures[[#This Row],[Date]]</f>
        <v>46579</v>
      </c>
      <c r="B46" s="220">
        <f>Match_Attendance[[#This Row],[Date]]</f>
        <v>46579</v>
      </c>
      <c r="C46" s="234">
        <f>Fixtures[[#This Row],[Opposition]]</f>
        <v>0</v>
      </c>
      <c r="D46" s="212" t="b">
        <v>0</v>
      </c>
      <c r="E46" s="212" t="b">
        <v>0</v>
      </c>
      <c r="F46" s="212" t="b">
        <v>0</v>
      </c>
      <c r="G46" s="212" t="b">
        <v>0</v>
      </c>
      <c r="H46" s="212" t="b">
        <v>0</v>
      </c>
      <c r="I46" s="212" t="b">
        <v>0</v>
      </c>
      <c r="J46" s="212" t="b">
        <v>0</v>
      </c>
      <c r="K46" s="212" t="b">
        <v>0</v>
      </c>
      <c r="L46" s="212" t="b">
        <v>0</v>
      </c>
      <c r="M46" s="212" t="b">
        <v>0</v>
      </c>
      <c r="N46" s="212" t="b">
        <v>0</v>
      </c>
      <c r="O46" s="212" t="b">
        <v>0</v>
      </c>
      <c r="P46" s="212" t="b">
        <v>0</v>
      </c>
      <c r="Q46" s="212" t="b">
        <v>0</v>
      </c>
      <c r="R46" s="212" t="b">
        <v>0</v>
      </c>
      <c r="S46" s="212" t="b">
        <v>0</v>
      </c>
      <c r="T46" s="212" t="b">
        <v>0</v>
      </c>
      <c r="U46" s="212" t="b">
        <v>0</v>
      </c>
      <c r="V46" s="212" t="b">
        <v>0</v>
      </c>
      <c r="W46" s="212" t="b">
        <v>0</v>
      </c>
      <c r="X46" s="212" t="b">
        <v>0</v>
      </c>
      <c r="Y46" s="215" t="b">
        <v>0</v>
      </c>
      <c r="Z46" s="215" t="b">
        <v>0</v>
      </c>
      <c r="AA46" s="215" t="b">
        <v>0</v>
      </c>
      <c r="AB46" s="215" t="b">
        <v>0</v>
      </c>
      <c r="AC46" s="215" t="b">
        <v>0</v>
      </c>
      <c r="AD46" s="247">
        <f>COUNTIF(Match_Attendance[[#This Row],[Alf M]:[Ronnie D]],"Y")</f>
        <v>0</v>
      </c>
    </row>
    <row r="47" spans="1:30" ht="16" customHeight="1" x14ac:dyDescent="0.35">
      <c r="A47" s="225">
        <f>Fixtures[[#This Row],[Date]]</f>
        <v>46586</v>
      </c>
      <c r="B47" s="220">
        <f>Match_Attendance[[#This Row],[Date]]</f>
        <v>46586</v>
      </c>
      <c r="C47" s="234">
        <f>Fixtures[[#This Row],[Opposition]]</f>
        <v>0</v>
      </c>
      <c r="D47" s="212" t="b">
        <v>0</v>
      </c>
      <c r="E47" s="212" t="b">
        <v>0</v>
      </c>
      <c r="F47" s="212" t="b">
        <v>0</v>
      </c>
      <c r="G47" s="212" t="b">
        <v>0</v>
      </c>
      <c r="H47" s="212" t="b">
        <v>0</v>
      </c>
      <c r="I47" s="212" t="b">
        <v>0</v>
      </c>
      <c r="J47" s="212" t="b">
        <v>0</v>
      </c>
      <c r="K47" s="212" t="b">
        <v>0</v>
      </c>
      <c r="L47" s="212" t="b">
        <v>0</v>
      </c>
      <c r="M47" s="212" t="b">
        <v>0</v>
      </c>
      <c r="N47" s="212" t="b">
        <v>0</v>
      </c>
      <c r="O47" s="212" t="b">
        <v>0</v>
      </c>
      <c r="P47" s="212" t="b">
        <v>0</v>
      </c>
      <c r="Q47" s="212" t="b">
        <v>0</v>
      </c>
      <c r="R47" s="212" t="b">
        <v>0</v>
      </c>
      <c r="S47" s="212" t="b">
        <v>0</v>
      </c>
      <c r="T47" s="212" t="b">
        <v>0</v>
      </c>
      <c r="U47" s="212" t="b">
        <v>0</v>
      </c>
      <c r="V47" s="212" t="b">
        <v>0</v>
      </c>
      <c r="W47" s="212" t="b">
        <v>0</v>
      </c>
      <c r="X47" s="212" t="b">
        <v>0</v>
      </c>
      <c r="Y47" s="215" t="b">
        <v>0</v>
      </c>
      <c r="Z47" s="215" t="b">
        <v>0</v>
      </c>
      <c r="AA47" s="215" t="b">
        <v>0</v>
      </c>
      <c r="AB47" s="215" t="b">
        <v>0</v>
      </c>
      <c r="AC47" s="215" t="b">
        <v>0</v>
      </c>
      <c r="AD47" s="247">
        <f>COUNTIF(Match_Attendance[[#This Row],[Alf M]:[Ronnie D]],"Y")</f>
        <v>0</v>
      </c>
    </row>
    <row r="48" spans="1:30" ht="16" customHeight="1" x14ac:dyDescent="0.35">
      <c r="A48" s="225">
        <f>Fixtures[[#This Row],[Date]]</f>
        <v>46593</v>
      </c>
      <c r="B48" s="220">
        <f>Match_Attendance[[#This Row],[Date]]</f>
        <v>46593</v>
      </c>
      <c r="C48" s="234">
        <f>Fixtures[[#This Row],[Opposition]]</f>
        <v>0</v>
      </c>
      <c r="D48" s="212" t="b">
        <v>0</v>
      </c>
      <c r="E48" s="212" t="b">
        <v>0</v>
      </c>
      <c r="F48" s="212" t="b">
        <v>0</v>
      </c>
      <c r="G48" s="212" t="b">
        <v>0</v>
      </c>
      <c r="H48" s="212" t="b">
        <v>0</v>
      </c>
      <c r="I48" s="212" t="b">
        <v>0</v>
      </c>
      <c r="J48" s="212" t="b">
        <v>0</v>
      </c>
      <c r="K48" s="212" t="b">
        <v>0</v>
      </c>
      <c r="L48" s="212" t="b">
        <v>0</v>
      </c>
      <c r="M48" s="212" t="b">
        <v>0</v>
      </c>
      <c r="N48" s="212" t="b">
        <v>0</v>
      </c>
      <c r="O48" s="212" t="b">
        <v>0</v>
      </c>
      <c r="P48" s="212" t="b">
        <v>0</v>
      </c>
      <c r="Q48" s="212" t="b">
        <v>0</v>
      </c>
      <c r="R48" s="212" t="b">
        <v>0</v>
      </c>
      <c r="S48" s="212" t="b">
        <v>0</v>
      </c>
      <c r="T48" s="212" t="b">
        <v>0</v>
      </c>
      <c r="U48" s="212" t="b">
        <v>0</v>
      </c>
      <c r="V48" s="212" t="b">
        <v>0</v>
      </c>
      <c r="W48" s="212" t="b">
        <v>0</v>
      </c>
      <c r="X48" s="212" t="b">
        <v>0</v>
      </c>
      <c r="Y48" s="215" t="b">
        <v>0</v>
      </c>
      <c r="Z48" s="215" t="b">
        <v>0</v>
      </c>
      <c r="AA48" s="215" t="b">
        <v>0</v>
      </c>
      <c r="AB48" s="215" t="b">
        <v>0</v>
      </c>
      <c r="AC48" s="215" t="b">
        <v>0</v>
      </c>
      <c r="AD48" s="247">
        <f>COUNTIF(Match_Attendance[[#This Row],[Alf M]:[Ronnie D]],"Y")</f>
        <v>0</v>
      </c>
    </row>
    <row r="49" spans="1:30" ht="16" customHeight="1" x14ac:dyDescent="0.35">
      <c r="A49" s="225">
        <f>Fixtures[[#This Row],[Date]]</f>
        <v>46600</v>
      </c>
      <c r="B49" s="220">
        <f>Match_Attendance[[#This Row],[Date]]</f>
        <v>46600</v>
      </c>
      <c r="C49" s="234">
        <f>Fixtures[[#This Row],[Opposition]]</f>
        <v>0</v>
      </c>
      <c r="D49" s="212" t="b">
        <v>0</v>
      </c>
      <c r="E49" s="212" t="b">
        <v>0</v>
      </c>
      <c r="F49" s="212" t="b">
        <v>0</v>
      </c>
      <c r="G49" s="212" t="b">
        <v>0</v>
      </c>
      <c r="H49" s="212" t="b">
        <v>0</v>
      </c>
      <c r="I49" s="212" t="b">
        <v>0</v>
      </c>
      <c r="J49" s="212" t="b">
        <v>0</v>
      </c>
      <c r="K49" s="212" t="b">
        <v>0</v>
      </c>
      <c r="L49" s="212" t="b">
        <v>0</v>
      </c>
      <c r="M49" s="212" t="b">
        <v>0</v>
      </c>
      <c r="N49" s="212" t="b">
        <v>0</v>
      </c>
      <c r="O49" s="212" t="b">
        <v>0</v>
      </c>
      <c r="P49" s="212" t="b">
        <v>0</v>
      </c>
      <c r="Q49" s="212" t="b">
        <v>0</v>
      </c>
      <c r="R49" s="212" t="b">
        <v>0</v>
      </c>
      <c r="S49" s="212" t="b">
        <v>0</v>
      </c>
      <c r="T49" s="212" t="b">
        <v>0</v>
      </c>
      <c r="U49" s="212" t="b">
        <v>0</v>
      </c>
      <c r="V49" s="212" t="b">
        <v>0</v>
      </c>
      <c r="W49" s="212" t="b">
        <v>0</v>
      </c>
      <c r="X49" s="212" t="b">
        <v>0</v>
      </c>
      <c r="Y49" s="215" t="b">
        <v>0</v>
      </c>
      <c r="Z49" s="215" t="b">
        <v>0</v>
      </c>
      <c r="AA49" s="215" t="b">
        <v>0</v>
      </c>
      <c r="AB49" s="215" t="b">
        <v>0</v>
      </c>
      <c r="AC49" s="215" t="b">
        <v>0</v>
      </c>
      <c r="AD49" s="247">
        <f>COUNTIF(Match_Attendance[[#This Row],[Alf M]:[Ronnie D]],"Y")</f>
        <v>0</v>
      </c>
    </row>
    <row r="50" spans="1:30" ht="16" customHeight="1" x14ac:dyDescent="0.35">
      <c r="A50" s="225">
        <f>Fixtures[[#This Row],[Date]]</f>
        <v>46607</v>
      </c>
      <c r="B50" s="220">
        <f>Match_Attendance[[#This Row],[Date]]</f>
        <v>46607</v>
      </c>
      <c r="C50" s="234">
        <f>Fixtures[[#This Row],[Opposition]]</f>
        <v>0</v>
      </c>
      <c r="D50" s="212" t="b">
        <v>0</v>
      </c>
      <c r="E50" s="212" t="b">
        <v>0</v>
      </c>
      <c r="F50" s="212" t="b">
        <v>0</v>
      </c>
      <c r="G50" s="212" t="b">
        <v>0</v>
      </c>
      <c r="H50" s="212" t="b">
        <v>0</v>
      </c>
      <c r="I50" s="212" t="b">
        <v>0</v>
      </c>
      <c r="J50" s="212" t="b">
        <v>0</v>
      </c>
      <c r="K50" s="212" t="b">
        <v>0</v>
      </c>
      <c r="L50" s="212" t="b">
        <v>0</v>
      </c>
      <c r="M50" s="212" t="b">
        <v>0</v>
      </c>
      <c r="N50" s="212" t="b">
        <v>0</v>
      </c>
      <c r="O50" s="212" t="b">
        <v>0</v>
      </c>
      <c r="P50" s="212" t="b">
        <v>0</v>
      </c>
      <c r="Q50" s="212" t="b">
        <v>0</v>
      </c>
      <c r="R50" s="212" t="b">
        <v>0</v>
      </c>
      <c r="S50" s="212" t="b">
        <v>0</v>
      </c>
      <c r="T50" s="212" t="b">
        <v>0</v>
      </c>
      <c r="U50" s="212" t="b">
        <v>0</v>
      </c>
      <c r="V50" s="212" t="b">
        <v>0</v>
      </c>
      <c r="W50" s="212" t="b">
        <v>0</v>
      </c>
      <c r="X50" s="212" t="b">
        <v>0</v>
      </c>
      <c r="Y50" s="215" t="b">
        <v>0</v>
      </c>
      <c r="Z50" s="215" t="b">
        <v>0</v>
      </c>
      <c r="AA50" s="215" t="b">
        <v>0</v>
      </c>
      <c r="AB50" s="215" t="b">
        <v>0</v>
      </c>
      <c r="AC50" s="215" t="b">
        <v>0</v>
      </c>
      <c r="AD50" s="247">
        <f>COUNTIF(Match_Attendance[[#This Row],[Alf M]:[Ronnie D]],"Y")</f>
        <v>0</v>
      </c>
    </row>
    <row r="51" spans="1:30" ht="16" customHeight="1" x14ac:dyDescent="0.35">
      <c r="A51" s="225">
        <f>Fixtures[[#This Row],[Date]]</f>
        <v>46614</v>
      </c>
      <c r="B51" s="220">
        <f>Match_Attendance[[#This Row],[Date]]</f>
        <v>46614</v>
      </c>
      <c r="C51" s="234">
        <f>Fixtures[[#This Row],[Opposition]]</f>
        <v>0</v>
      </c>
      <c r="D51" s="212" t="b">
        <v>0</v>
      </c>
      <c r="E51" s="212" t="b">
        <v>0</v>
      </c>
      <c r="F51" s="212" t="b">
        <v>0</v>
      </c>
      <c r="G51" s="212" t="b">
        <v>0</v>
      </c>
      <c r="H51" s="212" t="b">
        <v>0</v>
      </c>
      <c r="I51" s="212" t="b">
        <v>0</v>
      </c>
      <c r="J51" s="212" t="b">
        <v>0</v>
      </c>
      <c r="K51" s="212" t="b">
        <v>0</v>
      </c>
      <c r="L51" s="212" t="b">
        <v>0</v>
      </c>
      <c r="M51" s="212" t="b">
        <v>0</v>
      </c>
      <c r="N51" s="212" t="b">
        <v>0</v>
      </c>
      <c r="O51" s="212" t="b">
        <v>0</v>
      </c>
      <c r="P51" s="212" t="b">
        <v>0</v>
      </c>
      <c r="Q51" s="212" t="b">
        <v>0</v>
      </c>
      <c r="R51" s="212" t="b">
        <v>0</v>
      </c>
      <c r="S51" s="212" t="b">
        <v>0</v>
      </c>
      <c r="T51" s="212" t="b">
        <v>0</v>
      </c>
      <c r="U51" s="212" t="b">
        <v>0</v>
      </c>
      <c r="V51" s="212" t="b">
        <v>0</v>
      </c>
      <c r="W51" s="212" t="b">
        <v>0</v>
      </c>
      <c r="X51" s="212" t="b">
        <v>0</v>
      </c>
      <c r="Y51" s="215" t="b">
        <v>0</v>
      </c>
      <c r="Z51" s="215" t="b">
        <v>0</v>
      </c>
      <c r="AA51" s="215" t="b">
        <v>0</v>
      </c>
      <c r="AB51" s="215" t="b">
        <v>0</v>
      </c>
      <c r="AC51" s="215" t="b">
        <v>0</v>
      </c>
      <c r="AD51" s="247">
        <f>COUNTIF(Match_Attendance[[#This Row],[Alf M]:[Ronnie D]],"Y")</f>
        <v>0</v>
      </c>
    </row>
    <row r="52" spans="1:30" ht="16" customHeight="1" x14ac:dyDescent="0.35">
      <c r="A52" s="225">
        <f>Fixtures[[#This Row],[Date]]</f>
        <v>46621</v>
      </c>
      <c r="B52" s="220">
        <f>Match_Attendance[[#This Row],[Date]]</f>
        <v>46621</v>
      </c>
      <c r="C52" s="234">
        <f>Fixtures[[#This Row],[Opposition]]</f>
        <v>0</v>
      </c>
      <c r="D52" s="212" t="b">
        <v>0</v>
      </c>
      <c r="E52" s="212" t="b">
        <v>0</v>
      </c>
      <c r="F52" s="212" t="b">
        <v>0</v>
      </c>
      <c r="G52" s="212" t="b">
        <v>0</v>
      </c>
      <c r="H52" s="212" t="b">
        <v>0</v>
      </c>
      <c r="I52" s="212" t="b">
        <v>0</v>
      </c>
      <c r="J52" s="212" t="b">
        <v>0</v>
      </c>
      <c r="K52" s="212" t="b">
        <v>0</v>
      </c>
      <c r="L52" s="212" t="b">
        <v>0</v>
      </c>
      <c r="M52" s="212" t="b">
        <v>0</v>
      </c>
      <c r="N52" s="212" t="b">
        <v>0</v>
      </c>
      <c r="O52" s="212" t="b">
        <v>0</v>
      </c>
      <c r="P52" s="212" t="b">
        <v>0</v>
      </c>
      <c r="Q52" s="212" t="b">
        <v>0</v>
      </c>
      <c r="R52" s="212" t="b">
        <v>0</v>
      </c>
      <c r="S52" s="212" t="b">
        <v>0</v>
      </c>
      <c r="T52" s="212" t="b">
        <v>0</v>
      </c>
      <c r="U52" s="212" t="b">
        <v>0</v>
      </c>
      <c r="V52" s="212" t="b">
        <v>0</v>
      </c>
      <c r="W52" s="212" t="b">
        <v>0</v>
      </c>
      <c r="X52" s="212" t="b">
        <v>0</v>
      </c>
      <c r="Y52" s="215" t="b">
        <v>0</v>
      </c>
      <c r="Z52" s="215" t="b">
        <v>0</v>
      </c>
      <c r="AA52" s="215" t="b">
        <v>0</v>
      </c>
      <c r="AB52" s="215" t="b">
        <v>0</v>
      </c>
      <c r="AC52" s="215" t="b">
        <v>0</v>
      </c>
      <c r="AD52" s="247">
        <f>COUNTIF(Match_Attendance[[#This Row],[Alf M]:[Ronnie D]],"Y")</f>
        <v>0</v>
      </c>
    </row>
    <row r="53" spans="1:30" ht="16" customHeight="1" x14ac:dyDescent="0.35">
      <c r="A53" s="225">
        <f>Fixtures[[#This Row],[Date]]</f>
        <v>46628</v>
      </c>
      <c r="B53" s="220">
        <f>Match_Attendance[[#This Row],[Date]]</f>
        <v>46628</v>
      </c>
      <c r="C53" s="234">
        <f>Fixtures[[#This Row],[Opposition]]</f>
        <v>0</v>
      </c>
      <c r="D53" s="212" t="b">
        <v>0</v>
      </c>
      <c r="E53" s="212" t="b">
        <v>0</v>
      </c>
      <c r="F53" s="212" t="b">
        <v>0</v>
      </c>
      <c r="G53" s="212" t="b">
        <v>0</v>
      </c>
      <c r="H53" s="212" t="b">
        <v>0</v>
      </c>
      <c r="I53" s="212" t="b">
        <v>0</v>
      </c>
      <c r="J53" s="212" t="b">
        <v>0</v>
      </c>
      <c r="K53" s="212" t="b">
        <v>0</v>
      </c>
      <c r="L53" s="212" t="b">
        <v>0</v>
      </c>
      <c r="M53" s="212" t="b">
        <v>0</v>
      </c>
      <c r="N53" s="212" t="b">
        <v>0</v>
      </c>
      <c r="O53" s="212" t="b">
        <v>0</v>
      </c>
      <c r="P53" s="212" t="b">
        <v>0</v>
      </c>
      <c r="Q53" s="212" t="b">
        <v>0</v>
      </c>
      <c r="R53" s="212" t="b">
        <v>0</v>
      </c>
      <c r="S53" s="212" t="b">
        <v>0</v>
      </c>
      <c r="T53" s="212" t="b">
        <v>0</v>
      </c>
      <c r="U53" s="212" t="b">
        <v>0</v>
      </c>
      <c r="V53" s="212" t="b">
        <v>0</v>
      </c>
      <c r="W53" s="212" t="b">
        <v>0</v>
      </c>
      <c r="X53" s="212" t="b">
        <v>0</v>
      </c>
      <c r="Y53" s="212" t="b">
        <v>0</v>
      </c>
      <c r="Z53" s="212" t="b">
        <v>0</v>
      </c>
      <c r="AA53" s="212" t="b">
        <v>0</v>
      </c>
      <c r="AB53" s="212" t="b">
        <v>0</v>
      </c>
      <c r="AC53" s="212" t="b">
        <v>0</v>
      </c>
      <c r="AD53" s="247">
        <f>COUNTIF(Match_Attendance[[#This Row],[Alf M]:[Ronnie D]],"Y")</f>
        <v>0</v>
      </c>
    </row>
    <row r="54" spans="1:30" s="6" customFormat="1" ht="16" customHeight="1" x14ac:dyDescent="0.35">
      <c r="A54" s="279"/>
      <c r="B54" s="280"/>
      <c r="C54" s="280" t="s">
        <v>82</v>
      </c>
      <c r="D54" s="280">
        <f>COUNTIF(Match_Attendance[Alf M],TRUE)</f>
        <v>0</v>
      </c>
      <c r="E54" s="280">
        <f>COUNTIF(Match_Attendance[Alfie F],TRUE)</f>
        <v>0</v>
      </c>
      <c r="F54" s="280">
        <f>COUNTIF(Match_Attendance[Bailey],TRUE)</f>
        <v>0</v>
      </c>
      <c r="G54" s="280">
        <f>COUNTIF(Match_Attendance[Brad],TRUE)</f>
        <v>0</v>
      </c>
      <c r="H54" s="280">
        <f>COUNTIF(Match_Attendance[Callum],TRUE)</f>
        <v>0</v>
      </c>
      <c r="I54" s="280">
        <f>COUNTIF(Match_Attendance[Danny],TRUE)</f>
        <v>0</v>
      </c>
      <c r="J54" s="280">
        <f>COUNTIF(Match_Attendance[Ethan],TRUE)</f>
        <v>0</v>
      </c>
      <c r="K54" s="280">
        <f>COUNTIF(Match_Attendance[Freddie],TRUE)</f>
        <v>0</v>
      </c>
      <c r="L54" s="280">
        <f>COUNTIF(Match_Attendance[George],TRUE)</f>
        <v>0</v>
      </c>
      <c r="M54" s="280">
        <f>COUNTIF(Match_Attendance[Jamie],TRUE)</f>
        <v>0</v>
      </c>
      <c r="N54" s="280">
        <f>COUNTIF(Match_Attendance[Jay],TRUE)</f>
        <v>0</v>
      </c>
      <c r="O54" s="280">
        <f>COUNTIF(Match_Attendance[Joe],TRUE)</f>
        <v>0</v>
      </c>
      <c r="P54" s="280">
        <f>COUNTIF(Match_Attendance[Josh],TRUE)</f>
        <v>0</v>
      </c>
      <c r="Q54" s="280">
        <f>COUNTIF(Match_Attendance[Jude],TRUE)</f>
        <v>0</v>
      </c>
      <c r="R54" s="280">
        <f>COUNTIF(Match_Attendance[Kalan],TRUE)</f>
        <v>0</v>
      </c>
      <c r="S54" s="280">
        <f>COUNTIF(Match_Attendance[Kazeem],TRUE)</f>
        <v>0</v>
      </c>
      <c r="T54" s="280">
        <f>COUNTIF(Match_Attendance[Keiran D],TRUE)</f>
        <v>0</v>
      </c>
      <c r="U54" s="280">
        <f>COUNTIF(Match_Attendance[Keiran R],TRUE)</f>
        <v>0</v>
      </c>
      <c r="V54" s="280">
        <f>COUNTIF(Match_Attendance[Liam],TRUE)</f>
        <v>0</v>
      </c>
      <c r="W54" s="280">
        <f>COUNTIF(Match_Attendance[Louie],TRUE)</f>
        <v>0</v>
      </c>
      <c r="X54" s="280">
        <f>COUNTIF(Match_Attendance[Rocco],TRUE)</f>
        <v>0</v>
      </c>
      <c r="Y54" s="280">
        <f>COUNTIF(Match_Attendance[Ronnie D],TRUE)</f>
        <v>0</v>
      </c>
      <c r="Z54" s="280">
        <f>COUNTIF(Match_Attendance[Ronnie T],TRUE)</f>
        <v>0</v>
      </c>
      <c r="AA54" s="280">
        <f>COUNTIF(Match_Attendance[Ryan],TRUE)</f>
        <v>0</v>
      </c>
      <c r="AB54" s="280">
        <f>COUNTIF(Match_Attendance[Ryeley],TRUE)</f>
        <v>0</v>
      </c>
      <c r="AC54" s="280">
        <f>COUNTIF(Match_Attendance[Will],TRUE)</f>
        <v>0</v>
      </c>
      <c r="AD54" s="281">
        <f>SUBTOTAL(109,Match_Attendance[COUNT])</f>
        <v>0</v>
      </c>
    </row>
    <row r="55" spans="1:30" ht="16" customHeight="1" x14ac:dyDescent="0.35"/>
    <row r="56" spans="1:30" ht="16" customHeight="1" x14ac:dyDescent="0.35"/>
    <row r="57" spans="1:30" s="6" customFormat="1" x14ac:dyDescent="0.35">
      <c r="A57"/>
      <c r="B57"/>
      <c r="C57" s="235"/>
      <c r="D57" s="15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4"/>
      <c r="AA57" s="14"/>
      <c r="AB57" s="14"/>
      <c r="AC57" s="14"/>
      <c r="AD57" s="160"/>
    </row>
    <row r="58" spans="1:30" s="6" customFormat="1" ht="32" x14ac:dyDescent="0.35">
      <c r="A58" s="274"/>
      <c r="B58" s="274"/>
      <c r="C58" s="277" t="s">
        <v>224</v>
      </c>
      <c r="D58" s="272">
        <f>COUNTIF(Match_Attendance[Alf M], "R")</f>
        <v>0</v>
      </c>
      <c r="E58" s="270">
        <f>COUNTIF(Match_Attendance[Alfie F], "R")</f>
        <v>0</v>
      </c>
      <c r="F58" s="270">
        <f>COUNTIF(Match_Attendance[Bailey], "R")</f>
        <v>0</v>
      </c>
      <c r="G58" s="270">
        <f>COUNTIF(Match_Attendance[Brad], "R")</f>
        <v>0</v>
      </c>
      <c r="H58" s="270">
        <f>COUNTIF(Match_Attendance[Callum], "R")</f>
        <v>0</v>
      </c>
      <c r="I58" s="270">
        <f>COUNTIF(Match_Attendance[Danny], "R")</f>
        <v>0</v>
      </c>
      <c r="J58" s="270">
        <f>COUNTIF(Match_Attendance[Ethan], "R")</f>
        <v>0</v>
      </c>
      <c r="K58" s="270">
        <f>COUNTIF(Match_Attendance[Freddie], "R")</f>
        <v>0</v>
      </c>
      <c r="L58" s="270">
        <f>COUNTIF(Match_Attendance[George], "R")</f>
        <v>0</v>
      </c>
      <c r="M58" s="270">
        <f>COUNTIF(Match_Attendance[Jamie], "R")</f>
        <v>0</v>
      </c>
      <c r="N58" s="270">
        <f>COUNTIF(Match_Attendance[Jay], "R")</f>
        <v>0</v>
      </c>
      <c r="O58" s="270">
        <f>COUNTIF(Match_Attendance[Joe], "R")</f>
        <v>0</v>
      </c>
      <c r="P58" s="270">
        <f>COUNTIF(Match_Attendance[Josh], "R")</f>
        <v>0</v>
      </c>
      <c r="Q58" s="270">
        <f>COUNTIF(Match_Attendance[Jude], "R")</f>
        <v>0</v>
      </c>
      <c r="R58" s="270">
        <f>COUNTIF(Match_Attendance[Kalan], "R")</f>
        <v>0</v>
      </c>
      <c r="S58" s="270">
        <f>COUNTIF(Match_Attendance[Kazeem], "R")</f>
        <v>0</v>
      </c>
      <c r="T58" s="270">
        <f>COUNTIF(Match_Attendance[Keiran D], "R")</f>
        <v>0</v>
      </c>
      <c r="U58" s="270">
        <f>COUNTIF(Match_Attendance[Keiran R], "R")</f>
        <v>0</v>
      </c>
      <c r="V58" s="270">
        <f>COUNTIF(Match_Attendance[Liam], "R")</f>
        <v>0</v>
      </c>
      <c r="W58" s="270">
        <f>COUNTIF(Match_Attendance[Louie], "R")</f>
        <v>0</v>
      </c>
      <c r="X58" s="270">
        <f>COUNTIF(Match_Attendance[Rocco], "R")</f>
        <v>0</v>
      </c>
      <c r="Y58" s="270">
        <f>COUNTIF(Match_Attendance[Ronnie D], "R")</f>
        <v>0</v>
      </c>
      <c r="Z58" s="270">
        <f>COUNTIF(Match_Attendance[Ronnie T], "R")</f>
        <v>0</v>
      </c>
      <c r="AA58" s="270">
        <f>COUNTIF(Match_Attendance[Ryan], "R")</f>
        <v>0</v>
      </c>
      <c r="AB58" s="270">
        <f>COUNTIF(Match_Attendance[Ryeley], "R")</f>
        <v>0</v>
      </c>
      <c r="AC58" s="270">
        <f>COUNTIF(Match_Attendance[Will], "R")</f>
        <v>0</v>
      </c>
      <c r="AD58" s="237"/>
    </row>
    <row r="59" spans="1:30" ht="16" x14ac:dyDescent="0.35">
      <c r="A59" s="274"/>
      <c r="B59" s="274"/>
      <c r="C59" s="27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237"/>
    </row>
    <row r="60" spans="1:30" ht="32" x14ac:dyDescent="0.4">
      <c r="A60" s="276"/>
      <c r="B60" s="276"/>
      <c r="C60" s="278" t="s">
        <v>225</v>
      </c>
      <c r="D60" s="273">
        <f>COUNTIF(Match_Attendance[Alf M], "I")</f>
        <v>0</v>
      </c>
      <c r="E60" s="271">
        <f>COUNTIF(Match_Attendance[Alfie F], "I")</f>
        <v>0</v>
      </c>
      <c r="F60" s="271">
        <f>COUNTIF(Match_Attendance[Bailey], "I")</f>
        <v>0</v>
      </c>
      <c r="G60" s="271">
        <f>COUNTIF(Match_Attendance[Brad], "I")</f>
        <v>0</v>
      </c>
      <c r="H60" s="271">
        <f>COUNTIF(Match_Attendance[Callum], "I")</f>
        <v>0</v>
      </c>
      <c r="I60" s="271">
        <f>COUNTIF(Match_Attendance[Danny], "I")</f>
        <v>0</v>
      </c>
      <c r="J60" s="271">
        <f>COUNTIF(Match_Attendance[Ethan], "I")</f>
        <v>0</v>
      </c>
      <c r="K60" s="271">
        <f>COUNTIF(Match_Attendance[Freddie], "I")</f>
        <v>0</v>
      </c>
      <c r="L60" s="271">
        <f>COUNTIF(Match_Attendance[George], "I")</f>
        <v>0</v>
      </c>
      <c r="M60" s="271">
        <f>COUNTIF(Match_Attendance[Jamie], "I")</f>
        <v>0</v>
      </c>
      <c r="N60" s="271">
        <f>COUNTIF(Match_Attendance[Jay], "I")</f>
        <v>0</v>
      </c>
      <c r="O60" s="271">
        <f>COUNTIF(Match_Attendance[Joe], "I")</f>
        <v>0</v>
      </c>
      <c r="P60" s="271">
        <f>COUNTIF(Match_Attendance[Josh], "I")</f>
        <v>0</v>
      </c>
      <c r="Q60" s="271">
        <f>COUNTIF(Match_Attendance[Jude], "I")</f>
        <v>0</v>
      </c>
      <c r="R60" s="271">
        <f>COUNTIF(Match_Attendance[Kalan], "I")</f>
        <v>0</v>
      </c>
      <c r="S60" s="271">
        <f>COUNTIF(Match_Attendance[Kazeem], "I")</f>
        <v>0</v>
      </c>
      <c r="T60" s="271">
        <f>COUNTIF(Match_Attendance[Keiran D], "I")</f>
        <v>0</v>
      </c>
      <c r="U60" s="271">
        <f>COUNTIF(Match_Attendance[Keiran R], "I")</f>
        <v>0</v>
      </c>
      <c r="V60" s="271">
        <f>COUNTIF(Match_Attendance[Liam], "I")</f>
        <v>0</v>
      </c>
      <c r="W60" s="271">
        <f>COUNTIF(Match_Attendance[Louie], "I")</f>
        <v>0</v>
      </c>
      <c r="X60" s="271">
        <f>COUNTIF(Match_Attendance[Rocco], "I")</f>
        <v>0</v>
      </c>
      <c r="Y60" s="271">
        <f>COUNTIF(Match_Attendance[Ronnie D], "I")</f>
        <v>0</v>
      </c>
      <c r="Z60" s="271">
        <f>COUNTIF(Match_Attendance[Ronnie T], "I")</f>
        <v>0</v>
      </c>
      <c r="AA60" s="271">
        <f>COUNTIF(Match_Attendance[Ryan], "I")</f>
        <v>0</v>
      </c>
      <c r="AB60" s="271">
        <f>COUNTIF(Match_Attendance[Ryeley], "I")</f>
        <v>0</v>
      </c>
      <c r="AC60" s="271">
        <f>COUNTIF(Match_Attendance[Will], "I")</f>
        <v>0</v>
      </c>
    </row>
    <row r="61" spans="1:30" ht="16" customHeight="1" x14ac:dyDescent="0.4">
      <c r="A61" s="17"/>
      <c r="B61" s="17"/>
      <c r="C61" s="236"/>
      <c r="D61" s="16"/>
      <c r="Y61" s="14"/>
      <c r="AD61" s="16"/>
    </row>
    <row r="62" spans="1:30" ht="16" customHeight="1" x14ac:dyDescent="0.35"/>
    <row r="63" spans="1:30" ht="16" customHeight="1" x14ac:dyDescent="0.35"/>
    <row r="64" spans="1:30" ht="16" customHeight="1" x14ac:dyDescent="0.35"/>
    <row r="65" ht="16" customHeight="1" x14ac:dyDescent="0.35"/>
    <row r="66" ht="16" customHeight="1" x14ac:dyDescent="0.35"/>
    <row r="67" ht="16" customHeight="1" x14ac:dyDescent="0.35"/>
    <row r="68" ht="16" customHeight="1" x14ac:dyDescent="0.35"/>
    <row r="69" ht="16" customHeight="1" x14ac:dyDescent="0.35"/>
    <row r="70" ht="16" customHeight="1" x14ac:dyDescent="0.35"/>
    <row r="71" ht="16" customHeight="1" x14ac:dyDescent="0.35"/>
    <row r="72" ht="16" customHeight="1" x14ac:dyDescent="0.35"/>
    <row r="73" ht="16" customHeight="1" x14ac:dyDescent="0.35"/>
    <row r="74" ht="16" customHeight="1" x14ac:dyDescent="0.35"/>
    <row r="75" ht="16" customHeight="1" x14ac:dyDescent="0.35"/>
  </sheetData>
  <phoneticPr fontId="16" type="noConversion"/>
  <conditionalFormatting sqref="D2:AC53">
    <cfRule type="expression" dxfId="8" priority="1">
      <formula>D2=TRUE</formula>
    </cfRule>
    <cfRule type="containsText" dxfId="7" priority="2" operator="containsText" text="U">
      <formula>NOT(ISERROR(SEARCH("U",D2)))</formula>
    </cfRule>
    <cfRule type="containsText" dxfId="6" priority="17" operator="containsText" text="I">
      <formula>NOT(ISERROR(SEARCH("I",D2)))</formula>
    </cfRule>
    <cfRule type="containsText" dxfId="5" priority="18" operator="containsText" text="R">
      <formula>NOT(ISERROR(SEARCH("R",D2)))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2AAB-1B79-40A0-9867-1F273FE7B91D}">
  <sheetPr>
    <tabColor theme="8" tint="0.59999389629810485"/>
  </sheetPr>
  <dimension ref="A1:AE77"/>
  <sheetViews>
    <sheetView zoomScaleNormal="100" workbookViewId="0">
      <pane xSplit="2" ySplit="1" topLeftCell="C2" activePane="bottomRight" state="frozen"/>
      <selection activeCell="N25" sqref="N25"/>
      <selection pane="topRight" activeCell="N25" sqref="N25"/>
      <selection pane="bottomLeft" activeCell="N25" sqref="N25"/>
      <selection pane="bottomRight" activeCell="C56" sqref="C56:AC57"/>
    </sheetView>
  </sheetViews>
  <sheetFormatPr defaultColWidth="10.7265625" defaultRowHeight="14" x14ac:dyDescent="0.3"/>
  <cols>
    <col min="1" max="1" width="10.7265625" style="21"/>
    <col min="2" max="2" width="12.6328125" style="268" hidden="1" customWidth="1"/>
    <col min="3" max="3" width="10.6328125" style="268" customWidth="1"/>
    <col min="4" max="4" width="10" style="166" bestFit="1" customWidth="1"/>
    <col min="5" max="5" width="7.36328125" style="266" customWidth="1"/>
    <col min="6" max="6" width="8.453125" style="266" customWidth="1"/>
    <col min="7" max="7" width="7.81640625" style="266" customWidth="1"/>
    <col min="8" max="8" width="7.453125" style="266" customWidth="1"/>
    <col min="9" max="9" width="8.90625" style="266" customWidth="1"/>
    <col min="10" max="10" width="8.453125" style="266" customWidth="1"/>
    <col min="11" max="11" width="10.1796875" style="266" customWidth="1"/>
    <col min="12" max="12" width="9" style="266" customWidth="1"/>
    <col min="13" max="13" width="8.1796875" style="266" customWidth="1"/>
    <col min="14" max="14" width="6.1796875" style="266" customWidth="1"/>
    <col min="15" max="15" width="6.453125" style="266" customWidth="1"/>
    <col min="16" max="16" width="6.81640625" style="266" customWidth="1"/>
    <col min="17" max="17" width="7" style="266" customWidth="1"/>
    <col min="18" max="18" width="7.36328125" style="266" customWidth="1"/>
    <col min="19" max="19" width="8.36328125" style="266" customWidth="1"/>
    <col min="20" max="20" width="9.81640625" style="266" customWidth="1"/>
    <col min="21" max="21" width="8.6328125" style="266" customWidth="1"/>
    <col min="22" max="22" width="10.1796875" style="266" customWidth="1"/>
    <col min="23" max="23" width="9.81640625" style="266" customWidth="1"/>
    <col min="24" max="24" width="8.453125" style="266" customWidth="1"/>
    <col min="25" max="25" width="9.7265625" style="266" customWidth="1"/>
    <col min="26" max="30" width="9.453125" style="20" customWidth="1"/>
    <col min="31" max="31" width="6.81640625" style="269" bestFit="1" customWidth="1"/>
    <col min="32" max="48" width="5.54296875" style="166" bestFit="1" customWidth="1"/>
    <col min="49" max="16384" width="10.7265625" style="166"/>
  </cols>
  <sheetData>
    <row r="1" spans="1:31" s="172" customFormat="1" ht="33" customHeight="1" x14ac:dyDescent="0.35">
      <c r="A1" s="263" t="s">
        <v>11</v>
      </c>
      <c r="B1" s="263" t="s">
        <v>144</v>
      </c>
      <c r="C1" s="172" t="s">
        <v>212</v>
      </c>
      <c r="D1" s="263" t="s">
        <v>64</v>
      </c>
      <c r="E1" s="263" t="s">
        <v>65</v>
      </c>
      <c r="F1" s="263" t="s">
        <v>66</v>
      </c>
      <c r="G1" s="263" t="s">
        <v>67</v>
      </c>
      <c r="H1" s="263" t="s">
        <v>68</v>
      </c>
      <c r="I1" s="263" t="s">
        <v>69</v>
      </c>
      <c r="J1" s="263" t="s">
        <v>175</v>
      </c>
      <c r="K1" s="263" t="s">
        <v>171</v>
      </c>
      <c r="L1" s="263" t="s">
        <v>70</v>
      </c>
      <c r="M1" s="263" t="s">
        <v>71</v>
      </c>
      <c r="N1" s="263" t="s">
        <v>72</v>
      </c>
      <c r="O1" s="263" t="s">
        <v>73</v>
      </c>
      <c r="P1" s="263" t="s">
        <v>74</v>
      </c>
      <c r="Q1" s="263" t="s">
        <v>75</v>
      </c>
      <c r="R1" s="263" t="s">
        <v>76</v>
      </c>
      <c r="S1" s="263" t="s">
        <v>178</v>
      </c>
      <c r="T1" s="263" t="s">
        <v>162</v>
      </c>
      <c r="U1" s="263" t="s">
        <v>163</v>
      </c>
      <c r="V1" s="263" t="s">
        <v>124</v>
      </c>
      <c r="W1" s="263" t="s">
        <v>77</v>
      </c>
      <c r="X1" s="263" t="s">
        <v>172</v>
      </c>
      <c r="Y1" s="263" t="s">
        <v>78</v>
      </c>
      <c r="Z1" s="263" t="s">
        <v>79</v>
      </c>
      <c r="AA1" s="263" t="s">
        <v>161</v>
      </c>
      <c r="AB1" s="263" t="s">
        <v>80</v>
      </c>
      <c r="AC1" s="263" t="s">
        <v>81</v>
      </c>
      <c r="AD1" s="264" t="s">
        <v>83</v>
      </c>
    </row>
    <row r="2" spans="1:31" s="172" customFormat="1" ht="33" customHeight="1" x14ac:dyDescent="0.35">
      <c r="A2" s="225">
        <v>46267</v>
      </c>
      <c r="B2" s="220">
        <f>Training_Attendance[[#This Row],[Date]]</f>
        <v>46267</v>
      </c>
      <c r="C2" s="166" t="s">
        <v>84</v>
      </c>
      <c r="D2" s="286" t="str" cm="1">
        <f t="array" ref="D2">IF(SUMPRODUCT(IFERROR(--(INT(Attendance[Start time])=Training_Attendance[[#This Row],[Date]]),0)*IFERROR(--(ISNUMBER(SEARCH(D$1,Attendance[Attendees]))),0)*IFERROR(--(Attendance[Session Type]="Training"),0))&gt;0,"Y","")</f>
        <v/>
      </c>
      <c r="E2" s="286" t="str" cm="1">
        <f t="array" ref="E2">IF(SUMPRODUCT(IFERROR(--(INT(Attendance[Start time])=Training_Attendance[[#This Row],[Date]]),0)*IFERROR(--(ISNUMBER(SEARCH(E$1,Attendance[Attendees]))),0)*IFERROR(--(Attendance[Session Type]="Training"),0))&gt;0,"Y","")</f>
        <v/>
      </c>
      <c r="F2" s="286" t="str" cm="1">
        <f t="array" ref="F2">IF(SUMPRODUCT(IFERROR(--(INT(Attendance[Start time])=Training_Attendance[[#This Row],[Date]]),0)*IFERROR(--(ISNUMBER(SEARCH(F$1,Attendance[Attendees]))),0)*IFERROR(--(Attendance[Session Type]="Training"),0))&gt;0,"Y","")</f>
        <v/>
      </c>
      <c r="G2" s="286" t="str" cm="1">
        <f t="array" ref="G2">IF(SUMPRODUCT(IFERROR(--(INT(Attendance[Start time])=Training_Attendance[[#This Row],[Date]]),0)*IFERROR(--(ISNUMBER(SEARCH(G$1,Attendance[Attendees]))),0)*IFERROR(--(Attendance[Session Type]="Training"),0))&gt;0,"Y","")</f>
        <v/>
      </c>
      <c r="H2" s="286" t="str" cm="1">
        <f t="array" ref="H2">IF(SUMPRODUCT(IFERROR(--(INT(Attendance[Start time])=Training_Attendance[[#This Row],[Date]]),0)*IFERROR(--(ISNUMBER(SEARCH(H$1,Attendance[Attendees]))),0)*IFERROR(--(Attendance[Session Type]="Training"),0))&gt;0,"Y","")</f>
        <v/>
      </c>
      <c r="I2" s="286" t="str" cm="1">
        <f t="array" ref="I2">IF(SUMPRODUCT(IFERROR(--(INT(Attendance[Start time])=Training_Attendance[[#This Row],[Date]]),0)*IFERROR(--(ISNUMBER(SEARCH(I$1,Attendance[Attendees]))),0)*IFERROR(--(Attendance[Session Type]="Training"),0))&gt;0,"Y","")</f>
        <v/>
      </c>
      <c r="J2" s="286" t="str" cm="1">
        <f t="array" ref="J2">IF(SUMPRODUCT(IFERROR(--(INT(Attendance[Start time])=Training_Attendance[[#This Row],[Date]]),0)*IFERROR(--(ISNUMBER(SEARCH(J$1,Attendance[Attendees]))),0)*IFERROR(--(Attendance[Session Type]="Training"),0))&gt;0,"Y","")</f>
        <v/>
      </c>
      <c r="K2" s="286" t="str" cm="1">
        <f t="array" ref="K2">IF(SUMPRODUCT(IFERROR(--(INT(Attendance[Start time])=Training_Attendance[[#This Row],[Date]]),0)*IFERROR(--(ISNUMBER(SEARCH(K$1,Attendance[Attendees]))),0)*IFERROR(--(Attendance[Session Type]="Training"),0))&gt;0,"Y","")</f>
        <v/>
      </c>
      <c r="L2" s="286" t="str" cm="1">
        <f t="array" ref="L2">IF(SUMPRODUCT(IFERROR(--(INT(Attendance[Start time])=Training_Attendance[[#This Row],[Date]]),0)*IFERROR(--(ISNUMBER(SEARCH(L$1,Attendance[Attendees]))),0)*IFERROR(--(Attendance[Session Type]="Training"),0))&gt;0,"Y","")</f>
        <v/>
      </c>
      <c r="M2" s="286" t="str" cm="1">
        <f t="array" ref="M2">IF(SUMPRODUCT(IFERROR(--(INT(Attendance[Start time])=Training_Attendance[[#This Row],[Date]]),0)*IFERROR(--(ISNUMBER(SEARCH(M$1,Attendance[Attendees]))),0)*IFERROR(--(Attendance[Session Type]="Training"),0))&gt;0,"Y","")</f>
        <v/>
      </c>
      <c r="N2" s="286" t="str" cm="1">
        <f t="array" ref="N2">IF(SUMPRODUCT(IFERROR(--(INT(Attendance[Start time])=Training_Attendance[[#This Row],[Date]]),0)*IFERROR(--(ISNUMBER(SEARCH(N$1,Attendance[Attendees]))),0)*IFERROR(--(Attendance[Session Type]="Training"),0))&gt;0,"Y","")</f>
        <v/>
      </c>
      <c r="O2" s="286" t="str" cm="1">
        <f t="array" ref="O2">IF(SUMPRODUCT(IFERROR(--(INT(Attendance[Start time])=Training_Attendance[[#This Row],[Date]]),0)*IFERROR(--(ISNUMBER(SEARCH(O$1,Attendance[Attendees]))),0)*IFERROR(--(Attendance[Session Type]="Training"),0))&gt;0,"Y","")</f>
        <v/>
      </c>
      <c r="P2" s="286" t="str" cm="1">
        <f t="array" ref="P2">IF(SUMPRODUCT(IFERROR(--(INT(Attendance[Start time])=Training_Attendance[[#This Row],[Date]]),0)*IFERROR(--(ISNUMBER(SEARCH(P$1,Attendance[Attendees]))),0)*IFERROR(--(Attendance[Session Type]="Training"),0))&gt;0,"Y","")</f>
        <v/>
      </c>
      <c r="Q2" s="286" t="str" cm="1">
        <f t="array" ref="Q2">IF(SUMPRODUCT(IFERROR(--(INT(Attendance[Start time])=Training_Attendance[[#This Row],[Date]]),0)*IFERROR(--(ISNUMBER(SEARCH(Q$1,Attendance[Attendees]))),0)*IFERROR(--(Attendance[Session Type]="Training"),0))&gt;0,"Y","")</f>
        <v/>
      </c>
      <c r="R2" s="286" t="str" cm="1">
        <f t="array" ref="R2">IF(SUMPRODUCT(IFERROR(--(INT(Attendance[Start time])=Training_Attendance[[#This Row],[Date]]),0)*IFERROR(--(ISNUMBER(SEARCH(R$1,Attendance[Attendees]))),0)*IFERROR(--(Attendance[Session Type]="Training"),0))&gt;0,"Y","")</f>
        <v/>
      </c>
      <c r="S2" s="286" t="str" cm="1">
        <f t="array" ref="S2">IF(SUMPRODUCT(IFERROR(--(INT(Attendance[Start time])=Training_Attendance[[#This Row],[Date]]),0)*IFERROR(--(ISNUMBER(SEARCH(S$1,Attendance[Attendees]))),0)*IFERROR(--(Attendance[Session Type]="Training"),0))&gt;0,"Y","")</f>
        <v/>
      </c>
      <c r="T2" s="286" t="str" cm="1">
        <f t="array" ref="T2">IF(SUMPRODUCT(IFERROR(--(INT(Attendance[Start time])=Training_Attendance[[#This Row],[Date]]),0)*IFERROR(--(ISNUMBER(SEARCH(T$1,Attendance[Attendees]))),0)*IFERROR(--(Attendance[Session Type]="Training"),0))&gt;0,"Y","")</f>
        <v/>
      </c>
      <c r="U2" s="286" t="str" cm="1">
        <f t="array" ref="U2">IF(SUMPRODUCT(IFERROR(--(INT(Attendance[Start time])=Training_Attendance[[#This Row],[Date]]),0)*IFERROR(--(ISNUMBER(SEARCH(U$1,Attendance[Attendees]))),0)*IFERROR(--(Attendance[Session Type]="Training"),0))&gt;0,"Y","")</f>
        <v/>
      </c>
      <c r="V2" s="286" t="str" cm="1">
        <f t="array" ref="V2">IF(SUMPRODUCT(IFERROR(--(INT(Attendance[Start time])=Training_Attendance[[#This Row],[Date]]),0)*IFERROR(--(ISNUMBER(SEARCH(V$1,Attendance[Attendees]))),0)*IFERROR(--(Attendance[Session Type]="Training"),0))&gt;0,"Y","")</f>
        <v/>
      </c>
      <c r="W2" s="286" t="str" cm="1">
        <f t="array" ref="W2">IF(SUMPRODUCT(IFERROR(--(INT(Attendance[Start time])=Training_Attendance[[#This Row],[Date]]),0)*IFERROR(--(ISNUMBER(SEARCH(W$1,Attendance[Attendees]))),0)*IFERROR(--(Attendance[Session Type]="Training"),0))&gt;0,"Y","")</f>
        <v/>
      </c>
      <c r="X2" s="286" t="str" cm="1">
        <f t="array" ref="X2">IF(SUMPRODUCT(IFERROR(--(INT(Attendance[Start time])=Training_Attendance[[#This Row],[Date]]),0)*IFERROR(--(ISNUMBER(SEARCH(X$1,Attendance[Attendees]))),0)*IFERROR(--(Attendance[Session Type]="Training"),0))&gt;0,"Y","")</f>
        <v/>
      </c>
      <c r="Y2" s="286" t="str" cm="1">
        <f t="array" ref="Y2">IF(SUMPRODUCT(IFERROR(--(INT(Attendance[Start time])=Training_Attendance[[#This Row],[Date]]),0)*IFERROR(--(ISNUMBER(SEARCH(Y$1,Attendance[Attendees]))),0)*IFERROR(--(Attendance[Session Type]="Training"),0))&gt;0,"Y","")</f>
        <v/>
      </c>
      <c r="Z2" s="286" t="str" cm="1">
        <f t="array" ref="Z2">IF(SUMPRODUCT(IFERROR(--(INT(Attendance[Start time])=Training_Attendance[[#This Row],[Date]]),0)*IFERROR(--(ISNUMBER(SEARCH(Z$1,Attendance[Attendees]))),0)*IFERROR(--(Attendance[Session Type]="Training"),0))&gt;0,"Y","")</f>
        <v/>
      </c>
      <c r="AA2" s="286" t="str" cm="1">
        <f t="array" ref="AA2">IF(SUMPRODUCT(IFERROR(--(INT(Attendance[Start time])=Training_Attendance[[#This Row],[Date]]),0)*IFERROR(--(ISNUMBER(SEARCH(AA$1,Attendance[Attendees]))),0)*IFERROR(--(Attendance[Session Type]="Training"),0))&gt;0,"Y","")</f>
        <v/>
      </c>
      <c r="AB2" s="286" t="str" cm="1">
        <f t="array" ref="AB2">IF(SUMPRODUCT(IFERROR(--(INT(Attendance[Start time])=Training_Attendance[[#This Row],[Date]]),0)*IFERROR(--(ISNUMBER(SEARCH(AB$1,Attendance[Attendees]))),0)*IFERROR(--(Attendance[Session Type]="Training"),0))&gt;0,"Y","")</f>
        <v/>
      </c>
      <c r="AC2" s="286" t="str" cm="1">
        <f t="array" ref="AC2">IF(SUMPRODUCT(IFERROR(--(INT(Attendance[Start time])=Training_Attendance[[#This Row],[Date]]),0)*IFERROR(--(ISNUMBER(SEARCH(AC$1,Attendance[Attendees]))),0)*IFERROR(--(Attendance[Session Type]="Training"),0))&gt;0,"Y","")</f>
        <v/>
      </c>
      <c r="AD2" s="264">
        <f>COUNTIF(Training_Attendance[[#This Row],[Alf M]:[Ronnie D]],"Y")</f>
        <v>0</v>
      </c>
    </row>
    <row r="3" spans="1:31" ht="16" customHeight="1" x14ac:dyDescent="0.35">
      <c r="A3" s="225">
        <v>46274</v>
      </c>
      <c r="B3" s="220">
        <f>Training_Attendance[[#This Row],[Date]]</f>
        <v>46274</v>
      </c>
      <c r="C3" s="166" t="s">
        <v>84</v>
      </c>
      <c r="D3" s="286" t="str" cm="1">
        <f t="array" ref="D3">IF(SUMPRODUCT(IFERROR(--(INT(Attendance[Start time])=Training_Attendance[[#This Row],[Date]]),0)*IFERROR(--(ISNUMBER(SEARCH(D$1,Attendance[Attendees]))),0)*IFERROR(--(Attendance[Session Type]="Training"),0))&gt;0,"Y","")</f>
        <v/>
      </c>
      <c r="E3" s="286" t="str" cm="1">
        <f t="array" ref="E3">IF(SUMPRODUCT(IFERROR(--(INT(Attendance[Start time])=Training_Attendance[[#This Row],[Date]]),0)*IFERROR(--(ISNUMBER(SEARCH(E$1,Attendance[Attendees]))),0)*IFERROR(--(Attendance[Session Type]="Training"),0))&gt;0,"Y","")</f>
        <v/>
      </c>
      <c r="F3" s="286" t="str" cm="1">
        <f t="array" ref="F3">IF(SUMPRODUCT(IFERROR(--(INT(Attendance[Start time])=Training_Attendance[[#This Row],[Date]]),0)*IFERROR(--(ISNUMBER(SEARCH(F$1,Attendance[Attendees]))),0)*IFERROR(--(Attendance[Session Type]="Training"),0))&gt;0,"Y","")</f>
        <v/>
      </c>
      <c r="G3" s="286" t="str" cm="1">
        <f t="array" ref="G3">IF(SUMPRODUCT(IFERROR(--(INT(Attendance[Start time])=Training_Attendance[[#This Row],[Date]]),0)*IFERROR(--(ISNUMBER(SEARCH(G$1,Attendance[Attendees]))),0)*IFERROR(--(Attendance[Session Type]="Training"),0))&gt;0,"Y","")</f>
        <v/>
      </c>
      <c r="H3" s="286" t="str" cm="1">
        <f t="array" ref="H3">IF(SUMPRODUCT(IFERROR(--(INT(Attendance[Start time])=Training_Attendance[[#This Row],[Date]]),0)*IFERROR(--(ISNUMBER(SEARCH(H$1,Attendance[Attendees]))),0)*IFERROR(--(Attendance[Session Type]="Training"),0))&gt;0,"Y","")</f>
        <v/>
      </c>
      <c r="I3" s="286" t="str" cm="1">
        <f t="array" ref="I3">IF(SUMPRODUCT(IFERROR(--(INT(Attendance[Start time])=Training_Attendance[[#This Row],[Date]]),0)*IFERROR(--(ISNUMBER(SEARCH(I$1,Attendance[Attendees]))),0)*IFERROR(--(Attendance[Session Type]="Training"),0))&gt;0,"Y","")</f>
        <v/>
      </c>
      <c r="J3" s="286" t="str" cm="1">
        <f t="array" ref="J3">IF(SUMPRODUCT(IFERROR(--(INT(Attendance[Start time])=Training_Attendance[[#This Row],[Date]]),0)*IFERROR(--(ISNUMBER(SEARCH(J$1,Attendance[Attendees]))),0)*IFERROR(--(Attendance[Session Type]="Training"),0))&gt;0,"Y","")</f>
        <v/>
      </c>
      <c r="K3" s="286" t="str" cm="1">
        <f t="array" ref="K3">IF(SUMPRODUCT(IFERROR(--(INT(Attendance[Start time])=Training_Attendance[[#This Row],[Date]]),0)*IFERROR(--(ISNUMBER(SEARCH(K$1,Attendance[Attendees]))),0)*IFERROR(--(Attendance[Session Type]="Training"),0))&gt;0,"Y","")</f>
        <v/>
      </c>
      <c r="L3" s="286" t="str" cm="1">
        <f t="array" ref="L3">IF(SUMPRODUCT(IFERROR(--(INT(Attendance[Start time])=Training_Attendance[[#This Row],[Date]]),0)*IFERROR(--(ISNUMBER(SEARCH(L$1,Attendance[Attendees]))),0)*IFERROR(--(Attendance[Session Type]="Training"),0))&gt;0,"Y","")</f>
        <v/>
      </c>
      <c r="M3" s="286" t="str" cm="1">
        <f t="array" ref="M3">IF(SUMPRODUCT(IFERROR(--(INT(Attendance[Start time])=Training_Attendance[[#This Row],[Date]]),0)*IFERROR(--(ISNUMBER(SEARCH(M$1,Attendance[Attendees]))),0)*IFERROR(--(Attendance[Session Type]="Training"),0))&gt;0,"Y","")</f>
        <v/>
      </c>
      <c r="N3" s="286" t="str" cm="1">
        <f t="array" ref="N3">IF(SUMPRODUCT(IFERROR(--(INT(Attendance[Start time])=Training_Attendance[[#This Row],[Date]]),0)*IFERROR(--(ISNUMBER(SEARCH(N$1,Attendance[Attendees]))),0)*IFERROR(--(Attendance[Session Type]="Training"),0))&gt;0,"Y","")</f>
        <v/>
      </c>
      <c r="O3" s="286" t="str" cm="1">
        <f t="array" ref="O3">IF(SUMPRODUCT(IFERROR(--(INT(Attendance[Start time])=Training_Attendance[[#This Row],[Date]]),0)*IFERROR(--(ISNUMBER(SEARCH(O$1,Attendance[Attendees]))),0)*IFERROR(--(Attendance[Session Type]="Training"),0))&gt;0,"Y","")</f>
        <v/>
      </c>
      <c r="P3" s="286" t="str" cm="1">
        <f t="array" ref="P3">IF(SUMPRODUCT(IFERROR(--(INT(Attendance[Start time])=Training_Attendance[[#This Row],[Date]]),0)*IFERROR(--(ISNUMBER(SEARCH(P$1,Attendance[Attendees]))),0)*IFERROR(--(Attendance[Session Type]="Training"),0))&gt;0,"Y","")</f>
        <v/>
      </c>
      <c r="Q3" s="286" t="str" cm="1">
        <f t="array" ref="Q3">IF(SUMPRODUCT(IFERROR(--(INT(Attendance[Start time])=Training_Attendance[[#This Row],[Date]]),0)*IFERROR(--(ISNUMBER(SEARCH(Q$1,Attendance[Attendees]))),0)*IFERROR(--(Attendance[Session Type]="Training"),0))&gt;0,"Y","")</f>
        <v/>
      </c>
      <c r="R3" s="286" t="str" cm="1">
        <f t="array" ref="R3">IF(SUMPRODUCT(IFERROR(--(INT(Attendance[Start time])=Training_Attendance[[#This Row],[Date]]),0)*IFERROR(--(ISNUMBER(SEARCH(R$1,Attendance[Attendees]))),0)*IFERROR(--(Attendance[Session Type]="Training"),0))&gt;0,"Y","")</f>
        <v/>
      </c>
      <c r="S3" s="286" t="str" cm="1">
        <f t="array" ref="S3">IF(SUMPRODUCT(IFERROR(--(INT(Attendance[Start time])=Training_Attendance[[#This Row],[Date]]),0)*IFERROR(--(ISNUMBER(SEARCH(S$1,Attendance[Attendees]))),0)*IFERROR(--(Attendance[Session Type]="Training"),0))&gt;0,"Y","")</f>
        <v/>
      </c>
      <c r="T3" s="286" t="str" cm="1">
        <f t="array" ref="T3">IF(SUMPRODUCT(IFERROR(--(INT(Attendance[Start time])=Training_Attendance[[#This Row],[Date]]),0)*IFERROR(--(ISNUMBER(SEARCH(T$1,Attendance[Attendees]))),0)*IFERROR(--(Attendance[Session Type]="Training"),0))&gt;0,"Y","")</f>
        <v/>
      </c>
      <c r="U3" s="286" t="str" cm="1">
        <f t="array" ref="U3">IF(SUMPRODUCT(IFERROR(--(INT(Attendance[Start time])=Training_Attendance[[#This Row],[Date]]),0)*IFERROR(--(ISNUMBER(SEARCH(U$1,Attendance[Attendees]))),0)*IFERROR(--(Attendance[Session Type]="Training"),0))&gt;0,"Y","")</f>
        <v/>
      </c>
      <c r="V3" s="286" t="str" cm="1">
        <f t="array" ref="V3">IF(SUMPRODUCT(IFERROR(--(INT(Attendance[Start time])=Training_Attendance[[#This Row],[Date]]),0)*IFERROR(--(ISNUMBER(SEARCH(V$1,Attendance[Attendees]))),0)*IFERROR(--(Attendance[Session Type]="Training"),0))&gt;0,"Y","")</f>
        <v/>
      </c>
      <c r="W3" s="286" t="str" cm="1">
        <f t="array" ref="W3">IF(SUMPRODUCT(IFERROR(--(INT(Attendance[Start time])=Training_Attendance[[#This Row],[Date]]),0)*IFERROR(--(ISNUMBER(SEARCH(W$1,Attendance[Attendees]))),0)*IFERROR(--(Attendance[Session Type]="Training"),0))&gt;0,"Y","")</f>
        <v/>
      </c>
      <c r="X3" s="286" t="str" cm="1">
        <f t="array" ref="X3">IF(SUMPRODUCT(IFERROR(--(INT(Attendance[Start time])=Training_Attendance[[#This Row],[Date]]),0)*IFERROR(--(ISNUMBER(SEARCH(X$1,Attendance[Attendees]))),0)*IFERROR(--(Attendance[Session Type]="Training"),0))&gt;0,"Y","")</f>
        <v/>
      </c>
      <c r="Y3" s="286" t="str" cm="1">
        <f t="array" ref="Y3">IF(SUMPRODUCT(IFERROR(--(INT(Attendance[Start time])=Training_Attendance[[#This Row],[Date]]),0)*IFERROR(--(ISNUMBER(SEARCH(Y$1,Attendance[Attendees]))),0)*IFERROR(--(Attendance[Session Type]="Training"),0))&gt;0,"Y","")</f>
        <v/>
      </c>
      <c r="Z3" s="286" t="str" cm="1">
        <f t="array" ref="Z3">IF(SUMPRODUCT(IFERROR(--(INT(Attendance[Start time])=Training_Attendance[[#This Row],[Date]]),0)*IFERROR(--(ISNUMBER(SEARCH(Z$1,Attendance[Attendees]))),0)*IFERROR(--(Attendance[Session Type]="Training"),0))&gt;0,"Y","")</f>
        <v/>
      </c>
      <c r="AA3" s="286" t="str" cm="1">
        <f t="array" ref="AA3">IF(SUMPRODUCT(IFERROR(--(INT(Attendance[Start time])=Training_Attendance[[#This Row],[Date]]),0)*IFERROR(--(ISNUMBER(SEARCH(AA$1,Attendance[Attendees]))),0)*IFERROR(--(Attendance[Session Type]="Training"),0))&gt;0,"Y","")</f>
        <v/>
      </c>
      <c r="AB3" s="286" t="str" cm="1">
        <f t="array" ref="AB3">IF(SUMPRODUCT(IFERROR(--(INT(Attendance[Start time])=Training_Attendance[[#This Row],[Date]]),0)*IFERROR(--(ISNUMBER(SEARCH(AB$1,Attendance[Attendees]))),0)*IFERROR(--(Attendance[Session Type]="Training"),0))&gt;0,"Y","")</f>
        <v/>
      </c>
      <c r="AC3" s="286" t="str" cm="1">
        <f t="array" ref="AC3">IF(SUMPRODUCT(IFERROR(--(INT(Attendance[Start time])=Training_Attendance[[#This Row],[Date]]),0)*IFERROR(--(ISNUMBER(SEARCH(AC$1,Attendance[Attendees]))),0)*IFERROR(--(Attendance[Session Type]="Training"),0))&gt;0,"Y","")</f>
        <v/>
      </c>
      <c r="AD3" s="265">
        <f>COUNTIF(Training_Attendance[[#This Row],[Alf M]:[Ronnie D]],"Y")</f>
        <v>0</v>
      </c>
      <c r="AE3" s="166"/>
    </row>
    <row r="4" spans="1:31" ht="16" customHeight="1" x14ac:dyDescent="0.35">
      <c r="A4" s="225">
        <v>46281</v>
      </c>
      <c r="B4" s="220">
        <f>Training_Attendance[[#This Row],[Date]]</f>
        <v>46281</v>
      </c>
      <c r="C4" s="166" t="s">
        <v>84</v>
      </c>
      <c r="D4" s="286" t="str" cm="1">
        <f t="array" ref="D4">IF(SUMPRODUCT(IFERROR(--(INT(Attendance[Start time])=Training_Attendance[[#This Row],[Date]]),0)*IFERROR(--(ISNUMBER(SEARCH(D$1,Attendance[Attendees]))),0)*IFERROR(--(Attendance[Session Type]="Training"),0))&gt;0,"Y","")</f>
        <v/>
      </c>
      <c r="E4" s="286" t="str" cm="1">
        <f t="array" ref="E4">IF(SUMPRODUCT(IFERROR(--(INT(Attendance[Start time])=Training_Attendance[[#This Row],[Date]]),0)*IFERROR(--(ISNUMBER(SEARCH(E$1,Attendance[Attendees]))),0)*IFERROR(--(Attendance[Session Type]="Training"),0))&gt;0,"Y","")</f>
        <v/>
      </c>
      <c r="F4" s="286" t="str" cm="1">
        <f t="array" ref="F4">IF(SUMPRODUCT(IFERROR(--(INT(Attendance[Start time])=Training_Attendance[[#This Row],[Date]]),0)*IFERROR(--(ISNUMBER(SEARCH(F$1,Attendance[Attendees]))),0)*IFERROR(--(Attendance[Session Type]="Training"),0))&gt;0,"Y","")</f>
        <v/>
      </c>
      <c r="G4" s="286" t="str" cm="1">
        <f t="array" ref="G4">IF(SUMPRODUCT(IFERROR(--(INT(Attendance[Start time])=Training_Attendance[[#This Row],[Date]]),0)*IFERROR(--(ISNUMBER(SEARCH(G$1,Attendance[Attendees]))),0)*IFERROR(--(Attendance[Session Type]="Training"),0))&gt;0,"Y","")</f>
        <v/>
      </c>
      <c r="H4" s="286" t="str" cm="1">
        <f t="array" ref="H4">IF(SUMPRODUCT(IFERROR(--(INT(Attendance[Start time])=Training_Attendance[[#This Row],[Date]]),0)*IFERROR(--(ISNUMBER(SEARCH(H$1,Attendance[Attendees]))),0)*IFERROR(--(Attendance[Session Type]="Training"),0))&gt;0,"Y","")</f>
        <v/>
      </c>
      <c r="I4" s="286" t="str" cm="1">
        <f t="array" ref="I4">IF(SUMPRODUCT(IFERROR(--(INT(Attendance[Start time])=Training_Attendance[[#This Row],[Date]]),0)*IFERROR(--(ISNUMBER(SEARCH(I$1,Attendance[Attendees]))),0)*IFERROR(--(Attendance[Session Type]="Training"),0))&gt;0,"Y","")</f>
        <v/>
      </c>
      <c r="J4" s="286" t="str" cm="1">
        <f t="array" ref="J4">IF(SUMPRODUCT(IFERROR(--(INT(Attendance[Start time])=Training_Attendance[[#This Row],[Date]]),0)*IFERROR(--(ISNUMBER(SEARCH(J$1,Attendance[Attendees]))),0)*IFERROR(--(Attendance[Session Type]="Training"),0))&gt;0,"Y","")</f>
        <v/>
      </c>
      <c r="K4" s="286" t="str" cm="1">
        <f t="array" ref="K4">IF(SUMPRODUCT(IFERROR(--(INT(Attendance[Start time])=Training_Attendance[[#This Row],[Date]]),0)*IFERROR(--(ISNUMBER(SEARCH(K$1,Attendance[Attendees]))),0)*IFERROR(--(Attendance[Session Type]="Training"),0))&gt;0,"Y","")</f>
        <v/>
      </c>
      <c r="L4" s="286" t="str" cm="1">
        <f t="array" ref="L4">IF(SUMPRODUCT(IFERROR(--(INT(Attendance[Start time])=Training_Attendance[[#This Row],[Date]]),0)*IFERROR(--(ISNUMBER(SEARCH(L$1,Attendance[Attendees]))),0)*IFERROR(--(Attendance[Session Type]="Training"),0))&gt;0,"Y","")</f>
        <v/>
      </c>
      <c r="M4" s="286" t="str" cm="1">
        <f t="array" ref="M4">IF(SUMPRODUCT(IFERROR(--(INT(Attendance[Start time])=Training_Attendance[[#This Row],[Date]]),0)*IFERROR(--(ISNUMBER(SEARCH(M$1,Attendance[Attendees]))),0)*IFERROR(--(Attendance[Session Type]="Training"),0))&gt;0,"Y","")</f>
        <v/>
      </c>
      <c r="N4" s="286" t="str" cm="1">
        <f t="array" ref="N4">IF(SUMPRODUCT(IFERROR(--(INT(Attendance[Start time])=Training_Attendance[[#This Row],[Date]]),0)*IFERROR(--(ISNUMBER(SEARCH(N$1,Attendance[Attendees]))),0)*IFERROR(--(Attendance[Session Type]="Training"),0))&gt;0,"Y","")</f>
        <v/>
      </c>
      <c r="O4" s="286" t="str" cm="1">
        <f t="array" ref="O4">IF(SUMPRODUCT(IFERROR(--(INT(Attendance[Start time])=Training_Attendance[[#This Row],[Date]]),0)*IFERROR(--(ISNUMBER(SEARCH(O$1,Attendance[Attendees]))),0)*IFERROR(--(Attendance[Session Type]="Training"),0))&gt;0,"Y","")</f>
        <v/>
      </c>
      <c r="P4" s="286" t="str" cm="1">
        <f t="array" ref="P4">IF(SUMPRODUCT(IFERROR(--(INT(Attendance[Start time])=Training_Attendance[[#This Row],[Date]]),0)*IFERROR(--(ISNUMBER(SEARCH(P$1,Attendance[Attendees]))),0)*IFERROR(--(Attendance[Session Type]="Training"),0))&gt;0,"Y","")</f>
        <v/>
      </c>
      <c r="Q4" s="286" t="str" cm="1">
        <f t="array" ref="Q4">IF(SUMPRODUCT(IFERROR(--(INT(Attendance[Start time])=Training_Attendance[[#This Row],[Date]]),0)*IFERROR(--(ISNUMBER(SEARCH(Q$1,Attendance[Attendees]))),0)*IFERROR(--(Attendance[Session Type]="Training"),0))&gt;0,"Y","")</f>
        <v/>
      </c>
      <c r="R4" s="286" t="str" cm="1">
        <f t="array" ref="R4">IF(SUMPRODUCT(IFERROR(--(INT(Attendance[Start time])=Training_Attendance[[#This Row],[Date]]),0)*IFERROR(--(ISNUMBER(SEARCH(R$1,Attendance[Attendees]))),0)*IFERROR(--(Attendance[Session Type]="Training"),0))&gt;0,"Y","")</f>
        <v/>
      </c>
      <c r="S4" s="286" t="str" cm="1">
        <f t="array" ref="S4">IF(SUMPRODUCT(IFERROR(--(INT(Attendance[Start time])=Training_Attendance[[#This Row],[Date]]),0)*IFERROR(--(ISNUMBER(SEARCH(S$1,Attendance[Attendees]))),0)*IFERROR(--(Attendance[Session Type]="Training"),0))&gt;0,"Y","")</f>
        <v/>
      </c>
      <c r="T4" s="286" t="str" cm="1">
        <f t="array" ref="T4">IF(SUMPRODUCT(IFERROR(--(INT(Attendance[Start time])=Training_Attendance[[#This Row],[Date]]),0)*IFERROR(--(ISNUMBER(SEARCH(T$1,Attendance[Attendees]))),0)*IFERROR(--(Attendance[Session Type]="Training"),0))&gt;0,"Y","")</f>
        <v/>
      </c>
      <c r="U4" s="286" t="str" cm="1">
        <f t="array" ref="U4">IF(SUMPRODUCT(IFERROR(--(INT(Attendance[Start time])=Training_Attendance[[#This Row],[Date]]),0)*IFERROR(--(ISNUMBER(SEARCH(U$1,Attendance[Attendees]))),0)*IFERROR(--(Attendance[Session Type]="Training"),0))&gt;0,"Y","")</f>
        <v/>
      </c>
      <c r="V4" s="286" t="str" cm="1">
        <f t="array" ref="V4">IF(SUMPRODUCT(IFERROR(--(INT(Attendance[Start time])=Training_Attendance[[#This Row],[Date]]),0)*IFERROR(--(ISNUMBER(SEARCH(V$1,Attendance[Attendees]))),0)*IFERROR(--(Attendance[Session Type]="Training"),0))&gt;0,"Y","")</f>
        <v/>
      </c>
      <c r="W4" s="286" t="str" cm="1">
        <f t="array" ref="W4">IF(SUMPRODUCT(IFERROR(--(INT(Attendance[Start time])=Training_Attendance[[#This Row],[Date]]),0)*IFERROR(--(ISNUMBER(SEARCH(W$1,Attendance[Attendees]))),0)*IFERROR(--(Attendance[Session Type]="Training"),0))&gt;0,"Y","")</f>
        <v/>
      </c>
      <c r="X4" s="286" t="str" cm="1">
        <f t="array" ref="X4">IF(SUMPRODUCT(IFERROR(--(INT(Attendance[Start time])=Training_Attendance[[#This Row],[Date]]),0)*IFERROR(--(ISNUMBER(SEARCH(X$1,Attendance[Attendees]))),0)*IFERROR(--(Attendance[Session Type]="Training"),0))&gt;0,"Y","")</f>
        <v/>
      </c>
      <c r="Y4" s="286" t="str" cm="1">
        <f t="array" ref="Y4">IF(SUMPRODUCT(IFERROR(--(INT(Attendance[Start time])=Training_Attendance[[#This Row],[Date]]),0)*IFERROR(--(ISNUMBER(SEARCH(Y$1,Attendance[Attendees]))),0)*IFERROR(--(Attendance[Session Type]="Training"),0))&gt;0,"Y","")</f>
        <v/>
      </c>
      <c r="Z4" s="286" t="str" cm="1">
        <f t="array" ref="Z4">IF(SUMPRODUCT(IFERROR(--(INT(Attendance[Start time])=Training_Attendance[[#This Row],[Date]]),0)*IFERROR(--(ISNUMBER(SEARCH(Z$1,Attendance[Attendees]))),0)*IFERROR(--(Attendance[Session Type]="Training"),0))&gt;0,"Y","")</f>
        <v/>
      </c>
      <c r="AA4" s="286" t="str" cm="1">
        <f t="array" ref="AA4">IF(SUMPRODUCT(IFERROR(--(INT(Attendance[Start time])=Training_Attendance[[#This Row],[Date]]),0)*IFERROR(--(ISNUMBER(SEARCH(AA$1,Attendance[Attendees]))),0)*IFERROR(--(Attendance[Session Type]="Training"),0))&gt;0,"Y","")</f>
        <v/>
      </c>
      <c r="AB4" s="286" t="str" cm="1">
        <f t="array" ref="AB4">IF(SUMPRODUCT(IFERROR(--(INT(Attendance[Start time])=Training_Attendance[[#This Row],[Date]]),0)*IFERROR(--(ISNUMBER(SEARCH(AB$1,Attendance[Attendees]))),0)*IFERROR(--(Attendance[Session Type]="Training"),0))&gt;0,"Y","")</f>
        <v/>
      </c>
      <c r="AC4" s="286" t="str" cm="1">
        <f t="array" ref="AC4">IF(SUMPRODUCT(IFERROR(--(INT(Attendance[Start time])=Training_Attendance[[#This Row],[Date]]),0)*IFERROR(--(ISNUMBER(SEARCH(AC$1,Attendance[Attendees]))),0)*IFERROR(--(Attendance[Session Type]="Training"),0))&gt;0,"Y","")</f>
        <v/>
      </c>
      <c r="AD4" s="265">
        <f>COUNTIF(Training_Attendance[[#This Row],[Alf M]:[Ronnie D]],"Y")</f>
        <v>0</v>
      </c>
      <c r="AE4" s="166"/>
    </row>
    <row r="5" spans="1:31" ht="16" customHeight="1" x14ac:dyDescent="0.35">
      <c r="A5" s="225">
        <v>46288</v>
      </c>
      <c r="B5" s="220">
        <f>Training_Attendance[[#This Row],[Date]]</f>
        <v>46288</v>
      </c>
      <c r="C5" s="166" t="s">
        <v>84</v>
      </c>
      <c r="D5" s="286" t="str" cm="1">
        <f t="array" ref="D5">IF(SUMPRODUCT(IFERROR(--(INT(Attendance[Start time])=Training_Attendance[[#This Row],[Date]]),0)*IFERROR(--(ISNUMBER(SEARCH(D$1,Attendance[Attendees]))),0)*IFERROR(--(Attendance[Session Type]="Training"),0))&gt;0,"Y","")</f>
        <v/>
      </c>
      <c r="E5" s="286" t="str" cm="1">
        <f t="array" ref="E5">IF(SUMPRODUCT(IFERROR(--(INT(Attendance[Start time])=Training_Attendance[[#This Row],[Date]]),0)*IFERROR(--(ISNUMBER(SEARCH(E$1,Attendance[Attendees]))),0)*IFERROR(--(Attendance[Session Type]="Training"),0))&gt;0,"Y","")</f>
        <v/>
      </c>
      <c r="F5" s="286" t="str" cm="1">
        <f t="array" ref="F5">IF(SUMPRODUCT(IFERROR(--(INT(Attendance[Start time])=Training_Attendance[[#This Row],[Date]]),0)*IFERROR(--(ISNUMBER(SEARCH(F$1,Attendance[Attendees]))),0)*IFERROR(--(Attendance[Session Type]="Training"),0))&gt;0,"Y","")</f>
        <v/>
      </c>
      <c r="G5" s="286" t="str" cm="1">
        <f t="array" ref="G5">IF(SUMPRODUCT(IFERROR(--(INT(Attendance[Start time])=Training_Attendance[[#This Row],[Date]]),0)*IFERROR(--(ISNUMBER(SEARCH(G$1,Attendance[Attendees]))),0)*IFERROR(--(Attendance[Session Type]="Training"),0))&gt;0,"Y","")</f>
        <v/>
      </c>
      <c r="H5" s="286" t="str" cm="1">
        <f t="array" ref="H5">IF(SUMPRODUCT(IFERROR(--(INT(Attendance[Start time])=Training_Attendance[[#This Row],[Date]]),0)*IFERROR(--(ISNUMBER(SEARCH(H$1,Attendance[Attendees]))),0)*IFERROR(--(Attendance[Session Type]="Training"),0))&gt;0,"Y","")</f>
        <v/>
      </c>
      <c r="I5" s="286" t="str" cm="1">
        <f t="array" ref="I5">IF(SUMPRODUCT(IFERROR(--(INT(Attendance[Start time])=Training_Attendance[[#This Row],[Date]]),0)*IFERROR(--(ISNUMBER(SEARCH(I$1,Attendance[Attendees]))),0)*IFERROR(--(Attendance[Session Type]="Training"),0))&gt;0,"Y","")</f>
        <v/>
      </c>
      <c r="J5" s="286" t="str" cm="1">
        <f t="array" ref="J5">IF(SUMPRODUCT(IFERROR(--(INT(Attendance[Start time])=Training_Attendance[[#This Row],[Date]]),0)*IFERROR(--(ISNUMBER(SEARCH(J$1,Attendance[Attendees]))),0)*IFERROR(--(Attendance[Session Type]="Training"),0))&gt;0,"Y","")</f>
        <v/>
      </c>
      <c r="K5" s="286" t="str" cm="1">
        <f t="array" ref="K5">IF(SUMPRODUCT(IFERROR(--(INT(Attendance[Start time])=Training_Attendance[[#This Row],[Date]]),0)*IFERROR(--(ISNUMBER(SEARCH(K$1,Attendance[Attendees]))),0)*IFERROR(--(Attendance[Session Type]="Training"),0))&gt;0,"Y","")</f>
        <v/>
      </c>
      <c r="L5" s="286" t="str" cm="1">
        <f t="array" ref="L5">IF(SUMPRODUCT(IFERROR(--(INT(Attendance[Start time])=Training_Attendance[[#This Row],[Date]]),0)*IFERROR(--(ISNUMBER(SEARCH(L$1,Attendance[Attendees]))),0)*IFERROR(--(Attendance[Session Type]="Training"),0))&gt;0,"Y","")</f>
        <v/>
      </c>
      <c r="M5" s="286" t="str" cm="1">
        <f t="array" ref="M5">IF(SUMPRODUCT(IFERROR(--(INT(Attendance[Start time])=Training_Attendance[[#This Row],[Date]]),0)*IFERROR(--(ISNUMBER(SEARCH(M$1,Attendance[Attendees]))),0)*IFERROR(--(Attendance[Session Type]="Training"),0))&gt;0,"Y","")</f>
        <v/>
      </c>
      <c r="N5" s="286" t="str" cm="1">
        <f t="array" ref="N5">IF(SUMPRODUCT(IFERROR(--(INT(Attendance[Start time])=Training_Attendance[[#This Row],[Date]]),0)*IFERROR(--(ISNUMBER(SEARCH(N$1,Attendance[Attendees]))),0)*IFERROR(--(Attendance[Session Type]="Training"),0))&gt;0,"Y","")</f>
        <v/>
      </c>
      <c r="O5" s="286" t="str" cm="1">
        <f t="array" ref="O5">IF(SUMPRODUCT(IFERROR(--(INT(Attendance[Start time])=Training_Attendance[[#This Row],[Date]]),0)*IFERROR(--(ISNUMBER(SEARCH(O$1,Attendance[Attendees]))),0)*IFERROR(--(Attendance[Session Type]="Training"),0))&gt;0,"Y","")</f>
        <v/>
      </c>
      <c r="P5" s="286" t="str" cm="1">
        <f t="array" ref="P5">IF(SUMPRODUCT(IFERROR(--(INT(Attendance[Start time])=Training_Attendance[[#This Row],[Date]]),0)*IFERROR(--(ISNUMBER(SEARCH(P$1,Attendance[Attendees]))),0)*IFERROR(--(Attendance[Session Type]="Training"),0))&gt;0,"Y","")</f>
        <v/>
      </c>
      <c r="Q5" s="286" t="str" cm="1">
        <f t="array" ref="Q5">IF(SUMPRODUCT(IFERROR(--(INT(Attendance[Start time])=Training_Attendance[[#This Row],[Date]]),0)*IFERROR(--(ISNUMBER(SEARCH(Q$1,Attendance[Attendees]))),0)*IFERROR(--(Attendance[Session Type]="Training"),0))&gt;0,"Y","")</f>
        <v/>
      </c>
      <c r="R5" s="286" t="str" cm="1">
        <f t="array" ref="R5">IF(SUMPRODUCT(IFERROR(--(INT(Attendance[Start time])=Training_Attendance[[#This Row],[Date]]),0)*IFERROR(--(ISNUMBER(SEARCH(R$1,Attendance[Attendees]))),0)*IFERROR(--(Attendance[Session Type]="Training"),0))&gt;0,"Y","")</f>
        <v/>
      </c>
      <c r="S5" s="286" t="str" cm="1">
        <f t="array" ref="S5">IF(SUMPRODUCT(IFERROR(--(INT(Attendance[Start time])=Training_Attendance[[#This Row],[Date]]),0)*IFERROR(--(ISNUMBER(SEARCH(S$1,Attendance[Attendees]))),0)*IFERROR(--(Attendance[Session Type]="Training"),0))&gt;0,"Y","")</f>
        <v/>
      </c>
      <c r="T5" s="286" t="str" cm="1">
        <f t="array" ref="T5">IF(SUMPRODUCT(IFERROR(--(INT(Attendance[Start time])=Training_Attendance[[#This Row],[Date]]),0)*IFERROR(--(ISNUMBER(SEARCH(T$1,Attendance[Attendees]))),0)*IFERROR(--(Attendance[Session Type]="Training"),0))&gt;0,"Y","")</f>
        <v/>
      </c>
      <c r="U5" s="286" t="str" cm="1">
        <f t="array" ref="U5">IF(SUMPRODUCT(IFERROR(--(INT(Attendance[Start time])=Training_Attendance[[#This Row],[Date]]),0)*IFERROR(--(ISNUMBER(SEARCH(U$1,Attendance[Attendees]))),0)*IFERROR(--(Attendance[Session Type]="Training"),0))&gt;0,"Y","")</f>
        <v/>
      </c>
      <c r="V5" s="286" t="str" cm="1">
        <f t="array" ref="V5">IF(SUMPRODUCT(IFERROR(--(INT(Attendance[Start time])=Training_Attendance[[#This Row],[Date]]),0)*IFERROR(--(ISNUMBER(SEARCH(V$1,Attendance[Attendees]))),0)*IFERROR(--(Attendance[Session Type]="Training"),0))&gt;0,"Y","")</f>
        <v/>
      </c>
      <c r="W5" s="286" t="str" cm="1">
        <f t="array" ref="W5">IF(SUMPRODUCT(IFERROR(--(INT(Attendance[Start time])=Training_Attendance[[#This Row],[Date]]),0)*IFERROR(--(ISNUMBER(SEARCH(W$1,Attendance[Attendees]))),0)*IFERROR(--(Attendance[Session Type]="Training"),0))&gt;0,"Y","")</f>
        <v/>
      </c>
      <c r="X5" s="286" t="str" cm="1">
        <f t="array" ref="X5">IF(SUMPRODUCT(IFERROR(--(INT(Attendance[Start time])=Training_Attendance[[#This Row],[Date]]),0)*IFERROR(--(ISNUMBER(SEARCH(X$1,Attendance[Attendees]))),0)*IFERROR(--(Attendance[Session Type]="Training"),0))&gt;0,"Y","")</f>
        <v/>
      </c>
      <c r="Y5" s="286" t="str" cm="1">
        <f t="array" ref="Y5">IF(SUMPRODUCT(IFERROR(--(INT(Attendance[Start time])=Training_Attendance[[#This Row],[Date]]),0)*IFERROR(--(ISNUMBER(SEARCH(Y$1,Attendance[Attendees]))),0)*IFERROR(--(Attendance[Session Type]="Training"),0))&gt;0,"Y","")</f>
        <v/>
      </c>
      <c r="Z5" s="286" t="str" cm="1">
        <f t="array" ref="Z5">IF(SUMPRODUCT(IFERROR(--(INT(Attendance[Start time])=Training_Attendance[[#This Row],[Date]]),0)*IFERROR(--(ISNUMBER(SEARCH(Z$1,Attendance[Attendees]))),0)*IFERROR(--(Attendance[Session Type]="Training"),0))&gt;0,"Y","")</f>
        <v/>
      </c>
      <c r="AA5" s="286" t="str" cm="1">
        <f t="array" ref="AA5">IF(SUMPRODUCT(IFERROR(--(INT(Attendance[Start time])=Training_Attendance[[#This Row],[Date]]),0)*IFERROR(--(ISNUMBER(SEARCH(AA$1,Attendance[Attendees]))),0)*IFERROR(--(Attendance[Session Type]="Training"),0))&gt;0,"Y","")</f>
        <v/>
      </c>
      <c r="AB5" s="286" t="str" cm="1">
        <f t="array" ref="AB5">IF(SUMPRODUCT(IFERROR(--(INT(Attendance[Start time])=Training_Attendance[[#This Row],[Date]]),0)*IFERROR(--(ISNUMBER(SEARCH(AB$1,Attendance[Attendees]))),0)*IFERROR(--(Attendance[Session Type]="Training"),0))&gt;0,"Y","")</f>
        <v/>
      </c>
      <c r="AC5" s="286" t="str" cm="1">
        <f t="array" ref="AC5">IF(SUMPRODUCT(IFERROR(--(INT(Attendance[Start time])=Training_Attendance[[#This Row],[Date]]),0)*IFERROR(--(ISNUMBER(SEARCH(AC$1,Attendance[Attendees]))),0)*IFERROR(--(Attendance[Session Type]="Training"),0))&gt;0,"Y","")</f>
        <v/>
      </c>
      <c r="AD5" s="265">
        <f>COUNTIF(Training_Attendance[[#This Row],[Alf M]:[Ronnie D]],"Y")</f>
        <v>0</v>
      </c>
      <c r="AE5" s="166"/>
    </row>
    <row r="6" spans="1:31" ht="16" customHeight="1" x14ac:dyDescent="0.35">
      <c r="A6" s="225">
        <v>46295</v>
      </c>
      <c r="B6" s="220">
        <f>Training_Attendance[[#This Row],[Date]]</f>
        <v>46295</v>
      </c>
      <c r="C6" s="166" t="s">
        <v>84</v>
      </c>
      <c r="D6" s="286" t="str" cm="1">
        <f t="array" ref="D6">IF(SUMPRODUCT(IFERROR(--(INT(Attendance[Start time])=Training_Attendance[[#This Row],[Date]]),0)*IFERROR(--(ISNUMBER(SEARCH(D$1,Attendance[Attendees]))),0)*IFERROR(--(Attendance[Session Type]="Training"),0))&gt;0,"Y","")</f>
        <v/>
      </c>
      <c r="E6" s="286" t="str" cm="1">
        <f t="array" ref="E6">IF(SUMPRODUCT(IFERROR(--(INT(Attendance[Start time])=Training_Attendance[[#This Row],[Date]]),0)*IFERROR(--(ISNUMBER(SEARCH(E$1,Attendance[Attendees]))),0)*IFERROR(--(Attendance[Session Type]="Training"),0))&gt;0,"Y","")</f>
        <v/>
      </c>
      <c r="F6" s="286" t="str" cm="1">
        <f t="array" ref="F6">IF(SUMPRODUCT(IFERROR(--(INT(Attendance[Start time])=Training_Attendance[[#This Row],[Date]]),0)*IFERROR(--(ISNUMBER(SEARCH(F$1,Attendance[Attendees]))),0)*IFERROR(--(Attendance[Session Type]="Training"),0))&gt;0,"Y","")</f>
        <v/>
      </c>
      <c r="G6" s="286" t="str" cm="1">
        <f t="array" ref="G6">IF(SUMPRODUCT(IFERROR(--(INT(Attendance[Start time])=Training_Attendance[[#This Row],[Date]]),0)*IFERROR(--(ISNUMBER(SEARCH(G$1,Attendance[Attendees]))),0)*IFERROR(--(Attendance[Session Type]="Training"),0))&gt;0,"Y","")</f>
        <v/>
      </c>
      <c r="H6" s="286" t="str" cm="1">
        <f t="array" ref="H6">IF(SUMPRODUCT(IFERROR(--(INT(Attendance[Start time])=Training_Attendance[[#This Row],[Date]]),0)*IFERROR(--(ISNUMBER(SEARCH(H$1,Attendance[Attendees]))),0)*IFERROR(--(Attendance[Session Type]="Training"),0))&gt;0,"Y","")</f>
        <v/>
      </c>
      <c r="I6" s="286" t="str" cm="1">
        <f t="array" ref="I6">IF(SUMPRODUCT(IFERROR(--(INT(Attendance[Start time])=Training_Attendance[[#This Row],[Date]]),0)*IFERROR(--(ISNUMBER(SEARCH(I$1,Attendance[Attendees]))),0)*IFERROR(--(Attendance[Session Type]="Training"),0))&gt;0,"Y","")</f>
        <v/>
      </c>
      <c r="J6" s="286" t="str" cm="1">
        <f t="array" ref="J6">IF(SUMPRODUCT(IFERROR(--(INT(Attendance[Start time])=Training_Attendance[[#This Row],[Date]]),0)*IFERROR(--(ISNUMBER(SEARCH(J$1,Attendance[Attendees]))),0)*IFERROR(--(Attendance[Session Type]="Training"),0))&gt;0,"Y","")</f>
        <v/>
      </c>
      <c r="K6" s="286" t="str" cm="1">
        <f t="array" ref="K6">IF(SUMPRODUCT(IFERROR(--(INT(Attendance[Start time])=Training_Attendance[[#This Row],[Date]]),0)*IFERROR(--(ISNUMBER(SEARCH(K$1,Attendance[Attendees]))),0)*IFERROR(--(Attendance[Session Type]="Training"),0))&gt;0,"Y","")</f>
        <v/>
      </c>
      <c r="L6" s="286" t="str" cm="1">
        <f t="array" ref="L6">IF(SUMPRODUCT(IFERROR(--(INT(Attendance[Start time])=Training_Attendance[[#This Row],[Date]]),0)*IFERROR(--(ISNUMBER(SEARCH(L$1,Attendance[Attendees]))),0)*IFERROR(--(Attendance[Session Type]="Training"),0))&gt;0,"Y","")</f>
        <v/>
      </c>
      <c r="M6" s="286" t="str" cm="1">
        <f t="array" ref="M6">IF(SUMPRODUCT(IFERROR(--(INT(Attendance[Start time])=Training_Attendance[[#This Row],[Date]]),0)*IFERROR(--(ISNUMBER(SEARCH(M$1,Attendance[Attendees]))),0)*IFERROR(--(Attendance[Session Type]="Training"),0))&gt;0,"Y","")</f>
        <v/>
      </c>
      <c r="N6" s="286" t="str" cm="1">
        <f t="array" ref="N6">IF(SUMPRODUCT(IFERROR(--(INT(Attendance[Start time])=Training_Attendance[[#This Row],[Date]]),0)*IFERROR(--(ISNUMBER(SEARCH(N$1,Attendance[Attendees]))),0)*IFERROR(--(Attendance[Session Type]="Training"),0))&gt;0,"Y","")</f>
        <v/>
      </c>
      <c r="O6" s="286" t="str" cm="1">
        <f t="array" ref="O6">IF(SUMPRODUCT(IFERROR(--(INT(Attendance[Start time])=Training_Attendance[[#This Row],[Date]]),0)*IFERROR(--(ISNUMBER(SEARCH(O$1,Attendance[Attendees]))),0)*IFERROR(--(Attendance[Session Type]="Training"),0))&gt;0,"Y","")</f>
        <v/>
      </c>
      <c r="P6" s="286" t="str" cm="1">
        <f t="array" ref="P6">IF(SUMPRODUCT(IFERROR(--(INT(Attendance[Start time])=Training_Attendance[[#This Row],[Date]]),0)*IFERROR(--(ISNUMBER(SEARCH(P$1,Attendance[Attendees]))),0)*IFERROR(--(Attendance[Session Type]="Training"),0))&gt;0,"Y","")</f>
        <v/>
      </c>
      <c r="Q6" s="286" t="str" cm="1">
        <f t="array" ref="Q6">IF(SUMPRODUCT(IFERROR(--(INT(Attendance[Start time])=Training_Attendance[[#This Row],[Date]]),0)*IFERROR(--(ISNUMBER(SEARCH(Q$1,Attendance[Attendees]))),0)*IFERROR(--(Attendance[Session Type]="Training"),0))&gt;0,"Y","")</f>
        <v/>
      </c>
      <c r="R6" s="286" t="str" cm="1">
        <f t="array" ref="R6">IF(SUMPRODUCT(IFERROR(--(INT(Attendance[Start time])=Training_Attendance[[#This Row],[Date]]),0)*IFERROR(--(ISNUMBER(SEARCH(R$1,Attendance[Attendees]))),0)*IFERROR(--(Attendance[Session Type]="Training"),0))&gt;0,"Y","")</f>
        <v/>
      </c>
      <c r="S6" s="286" t="str" cm="1">
        <f t="array" ref="S6">IF(SUMPRODUCT(IFERROR(--(INT(Attendance[Start time])=Training_Attendance[[#This Row],[Date]]),0)*IFERROR(--(ISNUMBER(SEARCH(S$1,Attendance[Attendees]))),0)*IFERROR(--(Attendance[Session Type]="Training"),0))&gt;0,"Y","")</f>
        <v/>
      </c>
      <c r="T6" s="286" t="str" cm="1">
        <f t="array" ref="T6">IF(SUMPRODUCT(IFERROR(--(INT(Attendance[Start time])=Training_Attendance[[#This Row],[Date]]),0)*IFERROR(--(ISNUMBER(SEARCH(T$1,Attendance[Attendees]))),0)*IFERROR(--(Attendance[Session Type]="Training"),0))&gt;0,"Y","")</f>
        <v/>
      </c>
      <c r="U6" s="286" t="str" cm="1">
        <f t="array" ref="U6">IF(SUMPRODUCT(IFERROR(--(INT(Attendance[Start time])=Training_Attendance[[#This Row],[Date]]),0)*IFERROR(--(ISNUMBER(SEARCH(U$1,Attendance[Attendees]))),0)*IFERROR(--(Attendance[Session Type]="Training"),0))&gt;0,"Y","")</f>
        <v/>
      </c>
      <c r="V6" s="286" t="str" cm="1">
        <f t="array" ref="V6">IF(SUMPRODUCT(IFERROR(--(INT(Attendance[Start time])=Training_Attendance[[#This Row],[Date]]),0)*IFERROR(--(ISNUMBER(SEARCH(V$1,Attendance[Attendees]))),0)*IFERROR(--(Attendance[Session Type]="Training"),0))&gt;0,"Y","")</f>
        <v/>
      </c>
      <c r="W6" s="286" t="str" cm="1">
        <f t="array" ref="W6">IF(SUMPRODUCT(IFERROR(--(INT(Attendance[Start time])=Training_Attendance[[#This Row],[Date]]),0)*IFERROR(--(ISNUMBER(SEARCH(W$1,Attendance[Attendees]))),0)*IFERROR(--(Attendance[Session Type]="Training"),0))&gt;0,"Y","")</f>
        <v/>
      </c>
      <c r="X6" s="286" t="str" cm="1">
        <f t="array" ref="X6">IF(SUMPRODUCT(IFERROR(--(INT(Attendance[Start time])=Training_Attendance[[#This Row],[Date]]),0)*IFERROR(--(ISNUMBER(SEARCH(X$1,Attendance[Attendees]))),0)*IFERROR(--(Attendance[Session Type]="Training"),0))&gt;0,"Y","")</f>
        <v/>
      </c>
      <c r="Y6" s="286" t="str" cm="1">
        <f t="array" ref="Y6">IF(SUMPRODUCT(IFERROR(--(INT(Attendance[Start time])=Training_Attendance[[#This Row],[Date]]),0)*IFERROR(--(ISNUMBER(SEARCH(Y$1,Attendance[Attendees]))),0)*IFERROR(--(Attendance[Session Type]="Training"),0))&gt;0,"Y","")</f>
        <v/>
      </c>
      <c r="Z6" s="286" t="str" cm="1">
        <f t="array" ref="Z6">IF(SUMPRODUCT(IFERROR(--(INT(Attendance[Start time])=Training_Attendance[[#This Row],[Date]]),0)*IFERROR(--(ISNUMBER(SEARCH(Z$1,Attendance[Attendees]))),0)*IFERROR(--(Attendance[Session Type]="Training"),0))&gt;0,"Y","")</f>
        <v/>
      </c>
      <c r="AA6" s="286" t="str" cm="1">
        <f t="array" ref="AA6">IF(SUMPRODUCT(IFERROR(--(INT(Attendance[Start time])=Training_Attendance[[#This Row],[Date]]),0)*IFERROR(--(ISNUMBER(SEARCH(AA$1,Attendance[Attendees]))),0)*IFERROR(--(Attendance[Session Type]="Training"),0))&gt;0,"Y","")</f>
        <v/>
      </c>
      <c r="AB6" s="286" t="str" cm="1">
        <f t="array" ref="AB6">IF(SUMPRODUCT(IFERROR(--(INT(Attendance[Start time])=Training_Attendance[[#This Row],[Date]]),0)*IFERROR(--(ISNUMBER(SEARCH(AB$1,Attendance[Attendees]))),0)*IFERROR(--(Attendance[Session Type]="Training"),0))&gt;0,"Y","")</f>
        <v/>
      </c>
      <c r="AC6" s="286" t="str" cm="1">
        <f t="array" ref="AC6">IF(SUMPRODUCT(IFERROR(--(INT(Attendance[Start time])=Training_Attendance[[#This Row],[Date]]),0)*IFERROR(--(ISNUMBER(SEARCH(AC$1,Attendance[Attendees]))),0)*IFERROR(--(Attendance[Session Type]="Training"),0))&gt;0,"Y","")</f>
        <v/>
      </c>
      <c r="AD6" s="265">
        <f>COUNTIF(Training_Attendance[[#This Row],[Alf M]:[Ronnie D]],"Y")</f>
        <v>0</v>
      </c>
      <c r="AE6" s="166"/>
    </row>
    <row r="7" spans="1:31" ht="16" customHeight="1" x14ac:dyDescent="0.35">
      <c r="A7" s="225">
        <v>46302</v>
      </c>
      <c r="B7" s="220">
        <f>Training_Attendance[[#This Row],[Date]]</f>
        <v>46302</v>
      </c>
      <c r="C7" s="166" t="s">
        <v>84</v>
      </c>
      <c r="D7" s="286" t="str" cm="1">
        <f t="array" ref="D7">IF(SUMPRODUCT(IFERROR(--(INT(Attendance[Start time])=Training_Attendance[[#This Row],[Date]]),0)*IFERROR(--(ISNUMBER(SEARCH(D$1,Attendance[Attendees]))),0)*IFERROR(--(Attendance[Session Type]="Training"),0))&gt;0,"Y","")</f>
        <v/>
      </c>
      <c r="E7" s="286" t="str" cm="1">
        <f t="array" ref="E7">IF(SUMPRODUCT(IFERROR(--(INT(Attendance[Start time])=Training_Attendance[[#This Row],[Date]]),0)*IFERROR(--(ISNUMBER(SEARCH(E$1,Attendance[Attendees]))),0)*IFERROR(--(Attendance[Session Type]="Training"),0))&gt;0,"Y","")</f>
        <v/>
      </c>
      <c r="F7" s="286" t="str" cm="1">
        <f t="array" ref="F7">IF(SUMPRODUCT(IFERROR(--(INT(Attendance[Start time])=Training_Attendance[[#This Row],[Date]]),0)*IFERROR(--(ISNUMBER(SEARCH(F$1,Attendance[Attendees]))),0)*IFERROR(--(Attendance[Session Type]="Training"),0))&gt;0,"Y","")</f>
        <v/>
      </c>
      <c r="G7" s="286" t="str" cm="1">
        <f t="array" ref="G7">IF(SUMPRODUCT(IFERROR(--(INT(Attendance[Start time])=Training_Attendance[[#This Row],[Date]]),0)*IFERROR(--(ISNUMBER(SEARCH(G$1,Attendance[Attendees]))),0)*IFERROR(--(Attendance[Session Type]="Training"),0))&gt;0,"Y","")</f>
        <v/>
      </c>
      <c r="H7" s="286" t="str" cm="1">
        <f t="array" ref="H7">IF(SUMPRODUCT(IFERROR(--(INT(Attendance[Start time])=Training_Attendance[[#This Row],[Date]]),0)*IFERROR(--(ISNUMBER(SEARCH(H$1,Attendance[Attendees]))),0)*IFERROR(--(Attendance[Session Type]="Training"),0))&gt;0,"Y","")</f>
        <v/>
      </c>
      <c r="I7" s="286" t="str" cm="1">
        <f t="array" ref="I7">IF(SUMPRODUCT(IFERROR(--(INT(Attendance[Start time])=Training_Attendance[[#This Row],[Date]]),0)*IFERROR(--(ISNUMBER(SEARCH(I$1,Attendance[Attendees]))),0)*IFERROR(--(Attendance[Session Type]="Training"),0))&gt;0,"Y","")</f>
        <v/>
      </c>
      <c r="J7" s="286" t="str" cm="1">
        <f t="array" ref="J7">IF(SUMPRODUCT(IFERROR(--(INT(Attendance[Start time])=Training_Attendance[[#This Row],[Date]]),0)*IFERROR(--(ISNUMBER(SEARCH(J$1,Attendance[Attendees]))),0)*IFERROR(--(Attendance[Session Type]="Training"),0))&gt;0,"Y","")</f>
        <v/>
      </c>
      <c r="K7" s="286" t="str" cm="1">
        <f t="array" ref="K7">IF(SUMPRODUCT(IFERROR(--(INT(Attendance[Start time])=Training_Attendance[[#This Row],[Date]]),0)*IFERROR(--(ISNUMBER(SEARCH(K$1,Attendance[Attendees]))),0)*IFERROR(--(Attendance[Session Type]="Training"),0))&gt;0,"Y","")</f>
        <v/>
      </c>
      <c r="L7" s="286" t="str" cm="1">
        <f t="array" ref="L7">IF(SUMPRODUCT(IFERROR(--(INT(Attendance[Start time])=Training_Attendance[[#This Row],[Date]]),0)*IFERROR(--(ISNUMBER(SEARCH(L$1,Attendance[Attendees]))),0)*IFERROR(--(Attendance[Session Type]="Training"),0))&gt;0,"Y","")</f>
        <v/>
      </c>
      <c r="M7" s="286" t="str" cm="1">
        <f t="array" ref="M7">IF(SUMPRODUCT(IFERROR(--(INT(Attendance[Start time])=Training_Attendance[[#This Row],[Date]]),0)*IFERROR(--(ISNUMBER(SEARCH(M$1,Attendance[Attendees]))),0)*IFERROR(--(Attendance[Session Type]="Training"),0))&gt;0,"Y","")</f>
        <v/>
      </c>
      <c r="N7" s="286" t="str" cm="1">
        <f t="array" ref="N7">IF(SUMPRODUCT(IFERROR(--(INT(Attendance[Start time])=Training_Attendance[[#This Row],[Date]]),0)*IFERROR(--(ISNUMBER(SEARCH(N$1,Attendance[Attendees]))),0)*IFERROR(--(Attendance[Session Type]="Training"),0))&gt;0,"Y","")</f>
        <v/>
      </c>
      <c r="O7" s="286" t="str" cm="1">
        <f t="array" ref="O7">IF(SUMPRODUCT(IFERROR(--(INT(Attendance[Start time])=Training_Attendance[[#This Row],[Date]]),0)*IFERROR(--(ISNUMBER(SEARCH(O$1,Attendance[Attendees]))),0)*IFERROR(--(Attendance[Session Type]="Training"),0))&gt;0,"Y","")</f>
        <v/>
      </c>
      <c r="P7" s="286" t="str" cm="1">
        <f t="array" ref="P7">IF(SUMPRODUCT(IFERROR(--(INT(Attendance[Start time])=Training_Attendance[[#This Row],[Date]]),0)*IFERROR(--(ISNUMBER(SEARCH(P$1,Attendance[Attendees]))),0)*IFERROR(--(Attendance[Session Type]="Training"),0))&gt;0,"Y","")</f>
        <v/>
      </c>
      <c r="Q7" s="286" t="str" cm="1">
        <f t="array" ref="Q7">IF(SUMPRODUCT(IFERROR(--(INT(Attendance[Start time])=Training_Attendance[[#This Row],[Date]]),0)*IFERROR(--(ISNUMBER(SEARCH(Q$1,Attendance[Attendees]))),0)*IFERROR(--(Attendance[Session Type]="Training"),0))&gt;0,"Y","")</f>
        <v/>
      </c>
      <c r="R7" s="286" t="str" cm="1">
        <f t="array" ref="R7">IF(SUMPRODUCT(IFERROR(--(INT(Attendance[Start time])=Training_Attendance[[#This Row],[Date]]),0)*IFERROR(--(ISNUMBER(SEARCH(R$1,Attendance[Attendees]))),0)*IFERROR(--(Attendance[Session Type]="Training"),0))&gt;0,"Y","")</f>
        <v/>
      </c>
      <c r="S7" s="286" t="str" cm="1">
        <f t="array" ref="S7">IF(SUMPRODUCT(IFERROR(--(INT(Attendance[Start time])=Training_Attendance[[#This Row],[Date]]),0)*IFERROR(--(ISNUMBER(SEARCH(S$1,Attendance[Attendees]))),0)*IFERROR(--(Attendance[Session Type]="Training"),0))&gt;0,"Y","")</f>
        <v/>
      </c>
      <c r="T7" s="286" t="str" cm="1">
        <f t="array" ref="T7">IF(SUMPRODUCT(IFERROR(--(INT(Attendance[Start time])=Training_Attendance[[#This Row],[Date]]),0)*IFERROR(--(ISNUMBER(SEARCH(T$1,Attendance[Attendees]))),0)*IFERROR(--(Attendance[Session Type]="Training"),0))&gt;0,"Y","")</f>
        <v/>
      </c>
      <c r="U7" s="286" t="str" cm="1">
        <f t="array" ref="U7">IF(SUMPRODUCT(IFERROR(--(INT(Attendance[Start time])=Training_Attendance[[#This Row],[Date]]),0)*IFERROR(--(ISNUMBER(SEARCH(U$1,Attendance[Attendees]))),0)*IFERROR(--(Attendance[Session Type]="Training"),0))&gt;0,"Y","")</f>
        <v/>
      </c>
      <c r="V7" s="286" t="str" cm="1">
        <f t="array" ref="V7">IF(SUMPRODUCT(IFERROR(--(INT(Attendance[Start time])=Training_Attendance[[#This Row],[Date]]),0)*IFERROR(--(ISNUMBER(SEARCH(V$1,Attendance[Attendees]))),0)*IFERROR(--(Attendance[Session Type]="Training"),0))&gt;0,"Y","")</f>
        <v/>
      </c>
      <c r="W7" s="286" t="str" cm="1">
        <f t="array" ref="W7">IF(SUMPRODUCT(IFERROR(--(INT(Attendance[Start time])=Training_Attendance[[#This Row],[Date]]),0)*IFERROR(--(ISNUMBER(SEARCH(W$1,Attendance[Attendees]))),0)*IFERROR(--(Attendance[Session Type]="Training"),0))&gt;0,"Y","")</f>
        <v/>
      </c>
      <c r="X7" s="286" t="str" cm="1">
        <f t="array" ref="X7">IF(SUMPRODUCT(IFERROR(--(INT(Attendance[Start time])=Training_Attendance[[#This Row],[Date]]),0)*IFERROR(--(ISNUMBER(SEARCH(X$1,Attendance[Attendees]))),0)*IFERROR(--(Attendance[Session Type]="Training"),0))&gt;0,"Y","")</f>
        <v/>
      </c>
      <c r="Y7" s="286" t="str" cm="1">
        <f t="array" ref="Y7">IF(SUMPRODUCT(IFERROR(--(INT(Attendance[Start time])=Training_Attendance[[#This Row],[Date]]),0)*IFERROR(--(ISNUMBER(SEARCH(Y$1,Attendance[Attendees]))),0)*IFERROR(--(Attendance[Session Type]="Training"),0))&gt;0,"Y","")</f>
        <v/>
      </c>
      <c r="Z7" s="286" t="str" cm="1">
        <f t="array" ref="Z7">IF(SUMPRODUCT(IFERROR(--(INT(Attendance[Start time])=Training_Attendance[[#This Row],[Date]]),0)*IFERROR(--(ISNUMBER(SEARCH(Z$1,Attendance[Attendees]))),0)*IFERROR(--(Attendance[Session Type]="Training"),0))&gt;0,"Y","")</f>
        <v/>
      </c>
      <c r="AA7" s="286" t="str" cm="1">
        <f t="array" ref="AA7">IF(SUMPRODUCT(IFERROR(--(INT(Attendance[Start time])=Training_Attendance[[#This Row],[Date]]),0)*IFERROR(--(ISNUMBER(SEARCH(AA$1,Attendance[Attendees]))),0)*IFERROR(--(Attendance[Session Type]="Training"),0))&gt;0,"Y","")</f>
        <v/>
      </c>
      <c r="AB7" s="286" t="str" cm="1">
        <f t="array" ref="AB7">IF(SUMPRODUCT(IFERROR(--(INT(Attendance[Start time])=Training_Attendance[[#This Row],[Date]]),0)*IFERROR(--(ISNUMBER(SEARCH(AB$1,Attendance[Attendees]))),0)*IFERROR(--(Attendance[Session Type]="Training"),0))&gt;0,"Y","")</f>
        <v/>
      </c>
      <c r="AC7" s="286" t="str" cm="1">
        <f t="array" ref="AC7">IF(SUMPRODUCT(IFERROR(--(INT(Attendance[Start time])=Training_Attendance[[#This Row],[Date]]),0)*IFERROR(--(ISNUMBER(SEARCH(AC$1,Attendance[Attendees]))),0)*IFERROR(--(Attendance[Session Type]="Training"),0))&gt;0,"Y","")</f>
        <v/>
      </c>
      <c r="AD7" s="265">
        <f>COUNTIF(Training_Attendance[[#This Row],[Alf M]:[Ronnie D]],"Y")</f>
        <v>0</v>
      </c>
      <c r="AE7" s="166"/>
    </row>
    <row r="8" spans="1:31" ht="16" customHeight="1" x14ac:dyDescent="0.35">
      <c r="A8" s="225">
        <v>46309</v>
      </c>
      <c r="B8" s="220">
        <f>Training_Attendance[[#This Row],[Date]]</f>
        <v>46309</v>
      </c>
      <c r="C8" s="166" t="s">
        <v>84</v>
      </c>
      <c r="D8" s="286" t="str" cm="1">
        <f t="array" ref="D8">IF(SUMPRODUCT(IFERROR(--(INT(Attendance[Start time])=Training_Attendance[[#This Row],[Date]]),0)*IFERROR(--(ISNUMBER(SEARCH(D$1,Attendance[Attendees]))),0)*IFERROR(--(Attendance[Session Type]="Training"),0))&gt;0,"Y","")</f>
        <v/>
      </c>
      <c r="E8" s="286" t="str" cm="1">
        <f t="array" ref="E8">IF(SUMPRODUCT(IFERROR(--(INT(Attendance[Start time])=Training_Attendance[[#This Row],[Date]]),0)*IFERROR(--(ISNUMBER(SEARCH(E$1,Attendance[Attendees]))),0)*IFERROR(--(Attendance[Session Type]="Training"),0))&gt;0,"Y","")</f>
        <v/>
      </c>
      <c r="F8" s="286" t="str" cm="1">
        <f t="array" ref="F8">IF(SUMPRODUCT(IFERROR(--(INT(Attendance[Start time])=Training_Attendance[[#This Row],[Date]]),0)*IFERROR(--(ISNUMBER(SEARCH(F$1,Attendance[Attendees]))),0)*IFERROR(--(Attendance[Session Type]="Training"),0))&gt;0,"Y","")</f>
        <v/>
      </c>
      <c r="G8" s="286" t="str" cm="1">
        <f t="array" ref="G8">IF(SUMPRODUCT(IFERROR(--(INT(Attendance[Start time])=Training_Attendance[[#This Row],[Date]]),0)*IFERROR(--(ISNUMBER(SEARCH(G$1,Attendance[Attendees]))),0)*IFERROR(--(Attendance[Session Type]="Training"),0))&gt;0,"Y","")</f>
        <v/>
      </c>
      <c r="H8" s="286" t="str" cm="1">
        <f t="array" ref="H8">IF(SUMPRODUCT(IFERROR(--(INT(Attendance[Start time])=Training_Attendance[[#This Row],[Date]]),0)*IFERROR(--(ISNUMBER(SEARCH(H$1,Attendance[Attendees]))),0)*IFERROR(--(Attendance[Session Type]="Training"),0))&gt;0,"Y","")</f>
        <v/>
      </c>
      <c r="I8" s="286" t="str" cm="1">
        <f t="array" ref="I8">IF(SUMPRODUCT(IFERROR(--(INT(Attendance[Start time])=Training_Attendance[[#This Row],[Date]]),0)*IFERROR(--(ISNUMBER(SEARCH(I$1,Attendance[Attendees]))),0)*IFERROR(--(Attendance[Session Type]="Training"),0))&gt;0,"Y","")</f>
        <v/>
      </c>
      <c r="J8" s="286" t="str" cm="1">
        <f t="array" ref="J8">IF(SUMPRODUCT(IFERROR(--(INT(Attendance[Start time])=Training_Attendance[[#This Row],[Date]]),0)*IFERROR(--(ISNUMBER(SEARCH(J$1,Attendance[Attendees]))),0)*IFERROR(--(Attendance[Session Type]="Training"),0))&gt;0,"Y","")</f>
        <v/>
      </c>
      <c r="K8" s="286" t="str" cm="1">
        <f t="array" ref="K8">IF(SUMPRODUCT(IFERROR(--(INT(Attendance[Start time])=Training_Attendance[[#This Row],[Date]]),0)*IFERROR(--(ISNUMBER(SEARCH(K$1,Attendance[Attendees]))),0)*IFERROR(--(Attendance[Session Type]="Training"),0))&gt;0,"Y","")</f>
        <v/>
      </c>
      <c r="L8" s="286" t="str" cm="1">
        <f t="array" ref="L8">IF(SUMPRODUCT(IFERROR(--(INT(Attendance[Start time])=Training_Attendance[[#This Row],[Date]]),0)*IFERROR(--(ISNUMBER(SEARCH(L$1,Attendance[Attendees]))),0)*IFERROR(--(Attendance[Session Type]="Training"),0))&gt;0,"Y","")</f>
        <v/>
      </c>
      <c r="M8" s="286" t="str" cm="1">
        <f t="array" ref="M8">IF(SUMPRODUCT(IFERROR(--(INT(Attendance[Start time])=Training_Attendance[[#This Row],[Date]]),0)*IFERROR(--(ISNUMBER(SEARCH(M$1,Attendance[Attendees]))),0)*IFERROR(--(Attendance[Session Type]="Training"),0))&gt;0,"Y","")</f>
        <v/>
      </c>
      <c r="N8" s="286" t="str" cm="1">
        <f t="array" ref="N8">IF(SUMPRODUCT(IFERROR(--(INT(Attendance[Start time])=Training_Attendance[[#This Row],[Date]]),0)*IFERROR(--(ISNUMBER(SEARCH(N$1,Attendance[Attendees]))),0)*IFERROR(--(Attendance[Session Type]="Training"),0))&gt;0,"Y","")</f>
        <v/>
      </c>
      <c r="O8" s="286" t="str" cm="1">
        <f t="array" ref="O8">IF(SUMPRODUCT(IFERROR(--(INT(Attendance[Start time])=Training_Attendance[[#This Row],[Date]]),0)*IFERROR(--(ISNUMBER(SEARCH(O$1,Attendance[Attendees]))),0)*IFERROR(--(Attendance[Session Type]="Training"),0))&gt;0,"Y","")</f>
        <v/>
      </c>
      <c r="P8" s="286" t="str" cm="1">
        <f t="array" ref="P8">IF(SUMPRODUCT(IFERROR(--(INT(Attendance[Start time])=Training_Attendance[[#This Row],[Date]]),0)*IFERROR(--(ISNUMBER(SEARCH(P$1,Attendance[Attendees]))),0)*IFERROR(--(Attendance[Session Type]="Training"),0))&gt;0,"Y","")</f>
        <v/>
      </c>
      <c r="Q8" s="286" t="str" cm="1">
        <f t="array" ref="Q8">IF(SUMPRODUCT(IFERROR(--(INT(Attendance[Start time])=Training_Attendance[[#This Row],[Date]]),0)*IFERROR(--(ISNUMBER(SEARCH(Q$1,Attendance[Attendees]))),0)*IFERROR(--(Attendance[Session Type]="Training"),0))&gt;0,"Y","")</f>
        <v/>
      </c>
      <c r="R8" s="286" t="str" cm="1">
        <f t="array" ref="R8">IF(SUMPRODUCT(IFERROR(--(INT(Attendance[Start time])=Training_Attendance[[#This Row],[Date]]),0)*IFERROR(--(ISNUMBER(SEARCH(R$1,Attendance[Attendees]))),0)*IFERROR(--(Attendance[Session Type]="Training"),0))&gt;0,"Y","")</f>
        <v/>
      </c>
      <c r="S8" s="286" t="str" cm="1">
        <f t="array" ref="S8">IF(SUMPRODUCT(IFERROR(--(INT(Attendance[Start time])=Training_Attendance[[#This Row],[Date]]),0)*IFERROR(--(ISNUMBER(SEARCH(S$1,Attendance[Attendees]))),0)*IFERROR(--(Attendance[Session Type]="Training"),0))&gt;0,"Y","")</f>
        <v/>
      </c>
      <c r="T8" s="286" t="str" cm="1">
        <f t="array" ref="T8">IF(SUMPRODUCT(IFERROR(--(INT(Attendance[Start time])=Training_Attendance[[#This Row],[Date]]),0)*IFERROR(--(ISNUMBER(SEARCH(T$1,Attendance[Attendees]))),0)*IFERROR(--(Attendance[Session Type]="Training"),0))&gt;0,"Y","")</f>
        <v/>
      </c>
      <c r="U8" s="286" t="str" cm="1">
        <f t="array" ref="U8">IF(SUMPRODUCT(IFERROR(--(INT(Attendance[Start time])=Training_Attendance[[#This Row],[Date]]),0)*IFERROR(--(ISNUMBER(SEARCH(U$1,Attendance[Attendees]))),0)*IFERROR(--(Attendance[Session Type]="Training"),0))&gt;0,"Y","")</f>
        <v/>
      </c>
      <c r="V8" s="286" t="str" cm="1">
        <f t="array" ref="V8">IF(SUMPRODUCT(IFERROR(--(INT(Attendance[Start time])=Training_Attendance[[#This Row],[Date]]),0)*IFERROR(--(ISNUMBER(SEARCH(V$1,Attendance[Attendees]))),0)*IFERROR(--(Attendance[Session Type]="Training"),0))&gt;0,"Y","")</f>
        <v/>
      </c>
      <c r="W8" s="286" t="str" cm="1">
        <f t="array" ref="W8">IF(SUMPRODUCT(IFERROR(--(INT(Attendance[Start time])=Training_Attendance[[#This Row],[Date]]),0)*IFERROR(--(ISNUMBER(SEARCH(W$1,Attendance[Attendees]))),0)*IFERROR(--(Attendance[Session Type]="Training"),0))&gt;0,"Y","")</f>
        <v/>
      </c>
      <c r="X8" s="286" t="str" cm="1">
        <f t="array" ref="X8">IF(SUMPRODUCT(IFERROR(--(INT(Attendance[Start time])=Training_Attendance[[#This Row],[Date]]),0)*IFERROR(--(ISNUMBER(SEARCH(X$1,Attendance[Attendees]))),0)*IFERROR(--(Attendance[Session Type]="Training"),0))&gt;0,"Y","")</f>
        <v/>
      </c>
      <c r="Y8" s="286" t="str" cm="1">
        <f t="array" ref="Y8">IF(SUMPRODUCT(IFERROR(--(INT(Attendance[Start time])=Training_Attendance[[#This Row],[Date]]),0)*IFERROR(--(ISNUMBER(SEARCH(Y$1,Attendance[Attendees]))),0)*IFERROR(--(Attendance[Session Type]="Training"),0))&gt;0,"Y","")</f>
        <v/>
      </c>
      <c r="Z8" s="286" t="str" cm="1">
        <f t="array" ref="Z8">IF(SUMPRODUCT(IFERROR(--(INT(Attendance[Start time])=Training_Attendance[[#This Row],[Date]]),0)*IFERROR(--(ISNUMBER(SEARCH(Z$1,Attendance[Attendees]))),0)*IFERROR(--(Attendance[Session Type]="Training"),0))&gt;0,"Y","")</f>
        <v/>
      </c>
      <c r="AA8" s="286" t="str" cm="1">
        <f t="array" ref="AA8">IF(SUMPRODUCT(IFERROR(--(INT(Attendance[Start time])=Training_Attendance[[#This Row],[Date]]),0)*IFERROR(--(ISNUMBER(SEARCH(AA$1,Attendance[Attendees]))),0)*IFERROR(--(Attendance[Session Type]="Training"),0))&gt;0,"Y","")</f>
        <v/>
      </c>
      <c r="AB8" s="286" t="str" cm="1">
        <f t="array" ref="AB8">IF(SUMPRODUCT(IFERROR(--(INT(Attendance[Start time])=Training_Attendance[[#This Row],[Date]]),0)*IFERROR(--(ISNUMBER(SEARCH(AB$1,Attendance[Attendees]))),0)*IFERROR(--(Attendance[Session Type]="Training"),0))&gt;0,"Y","")</f>
        <v/>
      </c>
      <c r="AC8" s="286" t="str" cm="1">
        <f t="array" ref="AC8">IF(SUMPRODUCT(IFERROR(--(INT(Attendance[Start time])=Training_Attendance[[#This Row],[Date]]),0)*IFERROR(--(ISNUMBER(SEARCH(AC$1,Attendance[Attendees]))),0)*IFERROR(--(Attendance[Session Type]="Training"),0))&gt;0,"Y","")</f>
        <v/>
      </c>
      <c r="AD8" s="265">
        <f>COUNTIF(Training_Attendance[[#This Row],[Alf M]:[Ronnie D]],"Y")</f>
        <v>0</v>
      </c>
      <c r="AE8" s="166"/>
    </row>
    <row r="9" spans="1:31" ht="16" customHeight="1" x14ac:dyDescent="0.35">
      <c r="A9" s="225">
        <v>46316</v>
      </c>
      <c r="B9" s="220">
        <f>Training_Attendance[[#This Row],[Date]]</f>
        <v>46316</v>
      </c>
      <c r="C9" s="166" t="s">
        <v>84</v>
      </c>
      <c r="D9" s="286" t="str" cm="1">
        <f t="array" ref="D9">IF(SUMPRODUCT(IFERROR(--(INT(Attendance[Start time])=Training_Attendance[[#This Row],[Date]]),0)*IFERROR(--(ISNUMBER(SEARCH(D$1,Attendance[Attendees]))),0)*IFERROR(--(Attendance[Session Type]="Training"),0))&gt;0,"Y","")</f>
        <v/>
      </c>
      <c r="E9" s="286" t="str" cm="1">
        <f t="array" ref="E9">IF(SUMPRODUCT(IFERROR(--(INT(Attendance[Start time])=Training_Attendance[[#This Row],[Date]]),0)*IFERROR(--(ISNUMBER(SEARCH(E$1,Attendance[Attendees]))),0)*IFERROR(--(Attendance[Session Type]="Training"),0))&gt;0,"Y","")</f>
        <v/>
      </c>
      <c r="F9" s="286" t="str" cm="1">
        <f t="array" ref="F9">IF(SUMPRODUCT(IFERROR(--(INT(Attendance[Start time])=Training_Attendance[[#This Row],[Date]]),0)*IFERROR(--(ISNUMBER(SEARCH(F$1,Attendance[Attendees]))),0)*IFERROR(--(Attendance[Session Type]="Training"),0))&gt;0,"Y","")</f>
        <v/>
      </c>
      <c r="G9" s="286" t="str" cm="1">
        <f t="array" ref="G9">IF(SUMPRODUCT(IFERROR(--(INT(Attendance[Start time])=Training_Attendance[[#This Row],[Date]]),0)*IFERROR(--(ISNUMBER(SEARCH(G$1,Attendance[Attendees]))),0)*IFERROR(--(Attendance[Session Type]="Training"),0))&gt;0,"Y","")</f>
        <v/>
      </c>
      <c r="H9" s="286" t="str" cm="1">
        <f t="array" ref="H9">IF(SUMPRODUCT(IFERROR(--(INT(Attendance[Start time])=Training_Attendance[[#This Row],[Date]]),0)*IFERROR(--(ISNUMBER(SEARCH(H$1,Attendance[Attendees]))),0)*IFERROR(--(Attendance[Session Type]="Training"),0))&gt;0,"Y","")</f>
        <v/>
      </c>
      <c r="I9" s="286" t="str" cm="1">
        <f t="array" ref="I9">IF(SUMPRODUCT(IFERROR(--(INT(Attendance[Start time])=Training_Attendance[[#This Row],[Date]]),0)*IFERROR(--(ISNUMBER(SEARCH(I$1,Attendance[Attendees]))),0)*IFERROR(--(Attendance[Session Type]="Training"),0))&gt;0,"Y","")</f>
        <v/>
      </c>
      <c r="J9" s="286" t="str" cm="1">
        <f t="array" ref="J9">IF(SUMPRODUCT(IFERROR(--(INT(Attendance[Start time])=Training_Attendance[[#This Row],[Date]]),0)*IFERROR(--(ISNUMBER(SEARCH(J$1,Attendance[Attendees]))),0)*IFERROR(--(Attendance[Session Type]="Training"),0))&gt;0,"Y","")</f>
        <v/>
      </c>
      <c r="K9" s="286" t="str" cm="1">
        <f t="array" ref="K9">IF(SUMPRODUCT(IFERROR(--(INT(Attendance[Start time])=Training_Attendance[[#This Row],[Date]]),0)*IFERROR(--(ISNUMBER(SEARCH(K$1,Attendance[Attendees]))),0)*IFERROR(--(Attendance[Session Type]="Training"),0))&gt;0,"Y","")</f>
        <v/>
      </c>
      <c r="L9" s="286" t="str" cm="1">
        <f t="array" ref="L9">IF(SUMPRODUCT(IFERROR(--(INT(Attendance[Start time])=Training_Attendance[[#This Row],[Date]]),0)*IFERROR(--(ISNUMBER(SEARCH(L$1,Attendance[Attendees]))),0)*IFERROR(--(Attendance[Session Type]="Training"),0))&gt;0,"Y","")</f>
        <v/>
      </c>
      <c r="M9" s="286" t="str" cm="1">
        <f t="array" ref="M9">IF(SUMPRODUCT(IFERROR(--(INT(Attendance[Start time])=Training_Attendance[[#This Row],[Date]]),0)*IFERROR(--(ISNUMBER(SEARCH(M$1,Attendance[Attendees]))),0)*IFERROR(--(Attendance[Session Type]="Training"),0))&gt;0,"Y","")</f>
        <v/>
      </c>
      <c r="N9" s="286" t="str" cm="1">
        <f t="array" ref="N9">IF(SUMPRODUCT(IFERROR(--(INT(Attendance[Start time])=Training_Attendance[[#This Row],[Date]]),0)*IFERROR(--(ISNUMBER(SEARCH(N$1,Attendance[Attendees]))),0)*IFERROR(--(Attendance[Session Type]="Training"),0))&gt;0,"Y","")</f>
        <v/>
      </c>
      <c r="O9" s="286" t="str" cm="1">
        <f t="array" ref="O9">IF(SUMPRODUCT(IFERROR(--(INT(Attendance[Start time])=Training_Attendance[[#This Row],[Date]]),0)*IFERROR(--(ISNUMBER(SEARCH(O$1,Attendance[Attendees]))),0)*IFERROR(--(Attendance[Session Type]="Training"),0))&gt;0,"Y","")</f>
        <v/>
      </c>
      <c r="P9" s="286" t="str" cm="1">
        <f t="array" ref="P9">IF(SUMPRODUCT(IFERROR(--(INT(Attendance[Start time])=Training_Attendance[[#This Row],[Date]]),0)*IFERROR(--(ISNUMBER(SEARCH(P$1,Attendance[Attendees]))),0)*IFERROR(--(Attendance[Session Type]="Training"),0))&gt;0,"Y","")</f>
        <v/>
      </c>
      <c r="Q9" s="286" t="str" cm="1">
        <f t="array" ref="Q9">IF(SUMPRODUCT(IFERROR(--(INT(Attendance[Start time])=Training_Attendance[[#This Row],[Date]]),0)*IFERROR(--(ISNUMBER(SEARCH(Q$1,Attendance[Attendees]))),0)*IFERROR(--(Attendance[Session Type]="Training"),0))&gt;0,"Y","")</f>
        <v/>
      </c>
      <c r="R9" s="286" t="str" cm="1">
        <f t="array" ref="R9">IF(SUMPRODUCT(IFERROR(--(INT(Attendance[Start time])=Training_Attendance[[#This Row],[Date]]),0)*IFERROR(--(ISNUMBER(SEARCH(R$1,Attendance[Attendees]))),0)*IFERROR(--(Attendance[Session Type]="Training"),0))&gt;0,"Y","")</f>
        <v/>
      </c>
      <c r="S9" s="286" t="str" cm="1">
        <f t="array" ref="S9">IF(SUMPRODUCT(IFERROR(--(INT(Attendance[Start time])=Training_Attendance[[#This Row],[Date]]),0)*IFERROR(--(ISNUMBER(SEARCH(S$1,Attendance[Attendees]))),0)*IFERROR(--(Attendance[Session Type]="Training"),0))&gt;0,"Y","")</f>
        <v/>
      </c>
      <c r="T9" s="286" t="str" cm="1">
        <f t="array" ref="T9">IF(SUMPRODUCT(IFERROR(--(INT(Attendance[Start time])=Training_Attendance[[#This Row],[Date]]),0)*IFERROR(--(ISNUMBER(SEARCH(T$1,Attendance[Attendees]))),0)*IFERROR(--(Attendance[Session Type]="Training"),0))&gt;0,"Y","")</f>
        <v/>
      </c>
      <c r="U9" s="286" t="str" cm="1">
        <f t="array" ref="U9">IF(SUMPRODUCT(IFERROR(--(INT(Attendance[Start time])=Training_Attendance[[#This Row],[Date]]),0)*IFERROR(--(ISNUMBER(SEARCH(U$1,Attendance[Attendees]))),0)*IFERROR(--(Attendance[Session Type]="Training"),0))&gt;0,"Y","")</f>
        <v/>
      </c>
      <c r="V9" s="286" t="str" cm="1">
        <f t="array" ref="V9">IF(SUMPRODUCT(IFERROR(--(INT(Attendance[Start time])=Training_Attendance[[#This Row],[Date]]),0)*IFERROR(--(ISNUMBER(SEARCH(V$1,Attendance[Attendees]))),0)*IFERROR(--(Attendance[Session Type]="Training"),0))&gt;0,"Y","")</f>
        <v/>
      </c>
      <c r="W9" s="286" t="str" cm="1">
        <f t="array" ref="W9">IF(SUMPRODUCT(IFERROR(--(INT(Attendance[Start time])=Training_Attendance[[#This Row],[Date]]),0)*IFERROR(--(ISNUMBER(SEARCH(W$1,Attendance[Attendees]))),0)*IFERROR(--(Attendance[Session Type]="Training"),0))&gt;0,"Y","")</f>
        <v/>
      </c>
      <c r="X9" s="286" t="str" cm="1">
        <f t="array" ref="X9">IF(SUMPRODUCT(IFERROR(--(INT(Attendance[Start time])=Training_Attendance[[#This Row],[Date]]),0)*IFERROR(--(ISNUMBER(SEARCH(X$1,Attendance[Attendees]))),0)*IFERROR(--(Attendance[Session Type]="Training"),0))&gt;0,"Y","")</f>
        <v/>
      </c>
      <c r="Y9" s="286" t="str" cm="1">
        <f t="array" ref="Y9">IF(SUMPRODUCT(IFERROR(--(INT(Attendance[Start time])=Training_Attendance[[#This Row],[Date]]),0)*IFERROR(--(ISNUMBER(SEARCH(Y$1,Attendance[Attendees]))),0)*IFERROR(--(Attendance[Session Type]="Training"),0))&gt;0,"Y","")</f>
        <v/>
      </c>
      <c r="Z9" s="286" t="str" cm="1">
        <f t="array" ref="Z9">IF(SUMPRODUCT(IFERROR(--(INT(Attendance[Start time])=Training_Attendance[[#This Row],[Date]]),0)*IFERROR(--(ISNUMBER(SEARCH(Z$1,Attendance[Attendees]))),0)*IFERROR(--(Attendance[Session Type]="Training"),0))&gt;0,"Y","")</f>
        <v/>
      </c>
      <c r="AA9" s="286" t="str" cm="1">
        <f t="array" ref="AA9">IF(SUMPRODUCT(IFERROR(--(INT(Attendance[Start time])=Training_Attendance[[#This Row],[Date]]),0)*IFERROR(--(ISNUMBER(SEARCH(AA$1,Attendance[Attendees]))),0)*IFERROR(--(Attendance[Session Type]="Training"),0))&gt;0,"Y","")</f>
        <v/>
      </c>
      <c r="AB9" s="286" t="str" cm="1">
        <f t="array" ref="AB9">IF(SUMPRODUCT(IFERROR(--(INT(Attendance[Start time])=Training_Attendance[[#This Row],[Date]]),0)*IFERROR(--(ISNUMBER(SEARCH(AB$1,Attendance[Attendees]))),0)*IFERROR(--(Attendance[Session Type]="Training"),0))&gt;0,"Y","")</f>
        <v/>
      </c>
      <c r="AC9" s="286" t="str" cm="1">
        <f t="array" ref="AC9">IF(SUMPRODUCT(IFERROR(--(INT(Attendance[Start time])=Training_Attendance[[#This Row],[Date]]),0)*IFERROR(--(ISNUMBER(SEARCH(AC$1,Attendance[Attendees]))),0)*IFERROR(--(Attendance[Session Type]="Training"),0))&gt;0,"Y","")</f>
        <v/>
      </c>
      <c r="AD9" s="265">
        <f>COUNTIF(Training_Attendance[[#This Row],[Alf M]:[Ronnie D]],"Y")</f>
        <v>0</v>
      </c>
      <c r="AE9" s="166"/>
    </row>
    <row r="10" spans="1:31" ht="16" customHeight="1" x14ac:dyDescent="0.35">
      <c r="A10" s="225">
        <v>46323</v>
      </c>
      <c r="B10" s="220">
        <f>Training_Attendance[[#This Row],[Date]]</f>
        <v>46323</v>
      </c>
      <c r="C10" s="166" t="s">
        <v>84</v>
      </c>
      <c r="D10" s="286" t="str" cm="1">
        <f t="array" ref="D10">IF(SUMPRODUCT(IFERROR(--(INT(Attendance[Start time])=Training_Attendance[[#This Row],[Date]]),0)*IFERROR(--(ISNUMBER(SEARCH(D$1,Attendance[Attendees]))),0)*IFERROR(--(Attendance[Session Type]="Training"),0))&gt;0,"Y","")</f>
        <v/>
      </c>
      <c r="E10" s="286" t="str" cm="1">
        <f t="array" ref="E10">IF(SUMPRODUCT(IFERROR(--(INT(Attendance[Start time])=Training_Attendance[[#This Row],[Date]]),0)*IFERROR(--(ISNUMBER(SEARCH(E$1,Attendance[Attendees]))),0)*IFERROR(--(Attendance[Session Type]="Training"),0))&gt;0,"Y","")</f>
        <v/>
      </c>
      <c r="F10" s="286" t="str" cm="1">
        <f t="array" ref="F10">IF(SUMPRODUCT(IFERROR(--(INT(Attendance[Start time])=Training_Attendance[[#This Row],[Date]]),0)*IFERROR(--(ISNUMBER(SEARCH(F$1,Attendance[Attendees]))),0)*IFERROR(--(Attendance[Session Type]="Training"),0))&gt;0,"Y","")</f>
        <v/>
      </c>
      <c r="G10" s="286" t="str" cm="1">
        <f t="array" ref="G10">IF(SUMPRODUCT(IFERROR(--(INT(Attendance[Start time])=Training_Attendance[[#This Row],[Date]]),0)*IFERROR(--(ISNUMBER(SEARCH(G$1,Attendance[Attendees]))),0)*IFERROR(--(Attendance[Session Type]="Training"),0))&gt;0,"Y","")</f>
        <v/>
      </c>
      <c r="H10" s="286" t="str" cm="1">
        <f t="array" ref="H10">IF(SUMPRODUCT(IFERROR(--(INT(Attendance[Start time])=Training_Attendance[[#This Row],[Date]]),0)*IFERROR(--(ISNUMBER(SEARCH(H$1,Attendance[Attendees]))),0)*IFERROR(--(Attendance[Session Type]="Training"),0))&gt;0,"Y","")</f>
        <v/>
      </c>
      <c r="I10" s="286" t="str" cm="1">
        <f t="array" ref="I10">IF(SUMPRODUCT(IFERROR(--(INT(Attendance[Start time])=Training_Attendance[[#This Row],[Date]]),0)*IFERROR(--(ISNUMBER(SEARCH(I$1,Attendance[Attendees]))),0)*IFERROR(--(Attendance[Session Type]="Training"),0))&gt;0,"Y","")</f>
        <v/>
      </c>
      <c r="J10" s="286" t="str" cm="1">
        <f t="array" ref="J10">IF(SUMPRODUCT(IFERROR(--(INT(Attendance[Start time])=Training_Attendance[[#This Row],[Date]]),0)*IFERROR(--(ISNUMBER(SEARCH(J$1,Attendance[Attendees]))),0)*IFERROR(--(Attendance[Session Type]="Training"),0))&gt;0,"Y","")</f>
        <v/>
      </c>
      <c r="K10" s="286" t="str" cm="1">
        <f t="array" ref="K10">IF(SUMPRODUCT(IFERROR(--(INT(Attendance[Start time])=Training_Attendance[[#This Row],[Date]]),0)*IFERROR(--(ISNUMBER(SEARCH(K$1,Attendance[Attendees]))),0)*IFERROR(--(Attendance[Session Type]="Training"),0))&gt;0,"Y","")</f>
        <v/>
      </c>
      <c r="L10" s="286" t="str" cm="1">
        <f t="array" ref="L10">IF(SUMPRODUCT(IFERROR(--(INT(Attendance[Start time])=Training_Attendance[[#This Row],[Date]]),0)*IFERROR(--(ISNUMBER(SEARCH(L$1,Attendance[Attendees]))),0)*IFERROR(--(Attendance[Session Type]="Training"),0))&gt;0,"Y","")</f>
        <v/>
      </c>
      <c r="M10" s="286" t="str" cm="1">
        <f t="array" ref="M10">IF(SUMPRODUCT(IFERROR(--(INT(Attendance[Start time])=Training_Attendance[[#This Row],[Date]]),0)*IFERROR(--(ISNUMBER(SEARCH(M$1,Attendance[Attendees]))),0)*IFERROR(--(Attendance[Session Type]="Training"),0))&gt;0,"Y","")</f>
        <v/>
      </c>
      <c r="N10" s="286" t="str" cm="1">
        <f t="array" ref="N10">IF(SUMPRODUCT(IFERROR(--(INT(Attendance[Start time])=Training_Attendance[[#This Row],[Date]]),0)*IFERROR(--(ISNUMBER(SEARCH(N$1,Attendance[Attendees]))),0)*IFERROR(--(Attendance[Session Type]="Training"),0))&gt;0,"Y","")</f>
        <v/>
      </c>
      <c r="O10" s="286" t="str" cm="1">
        <f t="array" ref="O10">IF(SUMPRODUCT(IFERROR(--(INT(Attendance[Start time])=Training_Attendance[[#This Row],[Date]]),0)*IFERROR(--(ISNUMBER(SEARCH(O$1,Attendance[Attendees]))),0)*IFERROR(--(Attendance[Session Type]="Training"),0))&gt;0,"Y","")</f>
        <v/>
      </c>
      <c r="P10" s="286" t="str" cm="1">
        <f t="array" ref="P10">IF(SUMPRODUCT(IFERROR(--(INT(Attendance[Start time])=Training_Attendance[[#This Row],[Date]]),0)*IFERROR(--(ISNUMBER(SEARCH(P$1,Attendance[Attendees]))),0)*IFERROR(--(Attendance[Session Type]="Training"),0))&gt;0,"Y","")</f>
        <v/>
      </c>
      <c r="Q10" s="286" t="str" cm="1">
        <f t="array" ref="Q10">IF(SUMPRODUCT(IFERROR(--(INT(Attendance[Start time])=Training_Attendance[[#This Row],[Date]]),0)*IFERROR(--(ISNUMBER(SEARCH(Q$1,Attendance[Attendees]))),0)*IFERROR(--(Attendance[Session Type]="Training"),0))&gt;0,"Y","")</f>
        <v/>
      </c>
      <c r="R10" s="286" t="str" cm="1">
        <f t="array" ref="R10">IF(SUMPRODUCT(IFERROR(--(INT(Attendance[Start time])=Training_Attendance[[#This Row],[Date]]),0)*IFERROR(--(ISNUMBER(SEARCH(R$1,Attendance[Attendees]))),0)*IFERROR(--(Attendance[Session Type]="Training"),0))&gt;0,"Y","")</f>
        <v/>
      </c>
      <c r="S10" s="286" t="str" cm="1">
        <f t="array" ref="S10">IF(SUMPRODUCT(IFERROR(--(INT(Attendance[Start time])=Training_Attendance[[#This Row],[Date]]),0)*IFERROR(--(ISNUMBER(SEARCH(S$1,Attendance[Attendees]))),0)*IFERROR(--(Attendance[Session Type]="Training"),0))&gt;0,"Y","")</f>
        <v/>
      </c>
      <c r="T10" s="286" t="str" cm="1">
        <f t="array" ref="T10">IF(SUMPRODUCT(IFERROR(--(INT(Attendance[Start time])=Training_Attendance[[#This Row],[Date]]),0)*IFERROR(--(ISNUMBER(SEARCH(T$1,Attendance[Attendees]))),0)*IFERROR(--(Attendance[Session Type]="Training"),0))&gt;0,"Y","")</f>
        <v/>
      </c>
      <c r="U10" s="286" t="str" cm="1">
        <f t="array" ref="U10">IF(SUMPRODUCT(IFERROR(--(INT(Attendance[Start time])=Training_Attendance[[#This Row],[Date]]),0)*IFERROR(--(ISNUMBER(SEARCH(U$1,Attendance[Attendees]))),0)*IFERROR(--(Attendance[Session Type]="Training"),0))&gt;0,"Y","")</f>
        <v/>
      </c>
      <c r="V10" s="286" t="str" cm="1">
        <f t="array" ref="V10">IF(SUMPRODUCT(IFERROR(--(INT(Attendance[Start time])=Training_Attendance[[#This Row],[Date]]),0)*IFERROR(--(ISNUMBER(SEARCH(V$1,Attendance[Attendees]))),0)*IFERROR(--(Attendance[Session Type]="Training"),0))&gt;0,"Y","")</f>
        <v/>
      </c>
      <c r="W10" s="286" t="str" cm="1">
        <f t="array" ref="W10">IF(SUMPRODUCT(IFERROR(--(INT(Attendance[Start time])=Training_Attendance[[#This Row],[Date]]),0)*IFERROR(--(ISNUMBER(SEARCH(W$1,Attendance[Attendees]))),0)*IFERROR(--(Attendance[Session Type]="Training"),0))&gt;0,"Y","")</f>
        <v/>
      </c>
      <c r="X10" s="286" t="str" cm="1">
        <f t="array" ref="X10">IF(SUMPRODUCT(IFERROR(--(INT(Attendance[Start time])=Training_Attendance[[#This Row],[Date]]),0)*IFERROR(--(ISNUMBER(SEARCH(X$1,Attendance[Attendees]))),0)*IFERROR(--(Attendance[Session Type]="Training"),0))&gt;0,"Y","")</f>
        <v/>
      </c>
      <c r="Y10" s="286" t="str" cm="1">
        <f t="array" ref="Y10">IF(SUMPRODUCT(IFERROR(--(INT(Attendance[Start time])=Training_Attendance[[#This Row],[Date]]),0)*IFERROR(--(ISNUMBER(SEARCH(Y$1,Attendance[Attendees]))),0)*IFERROR(--(Attendance[Session Type]="Training"),0))&gt;0,"Y","")</f>
        <v/>
      </c>
      <c r="Z10" s="286" t="str" cm="1">
        <f t="array" ref="Z10">IF(SUMPRODUCT(IFERROR(--(INT(Attendance[Start time])=Training_Attendance[[#This Row],[Date]]),0)*IFERROR(--(ISNUMBER(SEARCH(Z$1,Attendance[Attendees]))),0)*IFERROR(--(Attendance[Session Type]="Training"),0))&gt;0,"Y","")</f>
        <v/>
      </c>
      <c r="AA10" s="286" t="str" cm="1">
        <f t="array" ref="AA10">IF(SUMPRODUCT(IFERROR(--(INT(Attendance[Start time])=Training_Attendance[[#This Row],[Date]]),0)*IFERROR(--(ISNUMBER(SEARCH(AA$1,Attendance[Attendees]))),0)*IFERROR(--(Attendance[Session Type]="Training"),0))&gt;0,"Y","")</f>
        <v/>
      </c>
      <c r="AB10" s="286" t="str" cm="1">
        <f t="array" ref="AB10">IF(SUMPRODUCT(IFERROR(--(INT(Attendance[Start time])=Training_Attendance[[#This Row],[Date]]),0)*IFERROR(--(ISNUMBER(SEARCH(AB$1,Attendance[Attendees]))),0)*IFERROR(--(Attendance[Session Type]="Training"),0))&gt;0,"Y","")</f>
        <v/>
      </c>
      <c r="AC10" s="286" t="str" cm="1">
        <f t="array" ref="AC10">IF(SUMPRODUCT(IFERROR(--(INT(Attendance[Start time])=Training_Attendance[[#This Row],[Date]]),0)*IFERROR(--(ISNUMBER(SEARCH(AC$1,Attendance[Attendees]))),0)*IFERROR(--(Attendance[Session Type]="Training"),0))&gt;0,"Y","")</f>
        <v/>
      </c>
      <c r="AD10" s="265">
        <f>COUNTIF(Training_Attendance[[#This Row],[Alf M]:[Ronnie D]],"Y")</f>
        <v>0</v>
      </c>
      <c r="AE10" s="166"/>
    </row>
    <row r="11" spans="1:31" s="266" customFormat="1" ht="16" customHeight="1" x14ac:dyDescent="0.35">
      <c r="A11" s="225">
        <v>46330</v>
      </c>
      <c r="B11" s="220">
        <f>Training_Attendance[[#This Row],[Date]]</f>
        <v>46330</v>
      </c>
      <c r="C11" s="166" t="s">
        <v>84</v>
      </c>
      <c r="D11" s="286" t="str" cm="1">
        <f t="array" ref="D11">IF(SUMPRODUCT(IFERROR(--(INT(Attendance[Start time])=Training_Attendance[[#This Row],[Date]]),0)*IFERROR(--(ISNUMBER(SEARCH(D$1,Attendance[Attendees]))),0)*IFERROR(--(Attendance[Session Type]="Training"),0))&gt;0,"Y","")</f>
        <v/>
      </c>
      <c r="E11" s="286" t="str" cm="1">
        <f t="array" ref="E11">IF(SUMPRODUCT(IFERROR(--(INT(Attendance[Start time])=Training_Attendance[[#This Row],[Date]]),0)*IFERROR(--(ISNUMBER(SEARCH(E$1,Attendance[Attendees]))),0)*IFERROR(--(Attendance[Session Type]="Training"),0))&gt;0,"Y","")</f>
        <v/>
      </c>
      <c r="F11" s="286" t="str" cm="1">
        <f t="array" ref="F11">IF(SUMPRODUCT(IFERROR(--(INT(Attendance[Start time])=Training_Attendance[[#This Row],[Date]]),0)*IFERROR(--(ISNUMBER(SEARCH(F$1,Attendance[Attendees]))),0)*IFERROR(--(Attendance[Session Type]="Training"),0))&gt;0,"Y","")</f>
        <v/>
      </c>
      <c r="G11" s="286" t="str" cm="1">
        <f t="array" ref="G11">IF(SUMPRODUCT(IFERROR(--(INT(Attendance[Start time])=Training_Attendance[[#This Row],[Date]]),0)*IFERROR(--(ISNUMBER(SEARCH(G$1,Attendance[Attendees]))),0)*IFERROR(--(Attendance[Session Type]="Training"),0))&gt;0,"Y","")</f>
        <v/>
      </c>
      <c r="H11" s="286" t="str" cm="1">
        <f t="array" ref="H11">IF(SUMPRODUCT(IFERROR(--(INT(Attendance[Start time])=Training_Attendance[[#This Row],[Date]]),0)*IFERROR(--(ISNUMBER(SEARCH(H$1,Attendance[Attendees]))),0)*IFERROR(--(Attendance[Session Type]="Training"),0))&gt;0,"Y","")</f>
        <v/>
      </c>
      <c r="I11" s="286" t="str" cm="1">
        <f t="array" ref="I11">IF(SUMPRODUCT(IFERROR(--(INT(Attendance[Start time])=Training_Attendance[[#This Row],[Date]]),0)*IFERROR(--(ISNUMBER(SEARCH(I$1,Attendance[Attendees]))),0)*IFERROR(--(Attendance[Session Type]="Training"),0))&gt;0,"Y","")</f>
        <v/>
      </c>
      <c r="J11" s="286" t="str" cm="1">
        <f t="array" ref="J11">IF(SUMPRODUCT(IFERROR(--(INT(Attendance[Start time])=Training_Attendance[[#This Row],[Date]]),0)*IFERROR(--(ISNUMBER(SEARCH(J$1,Attendance[Attendees]))),0)*IFERROR(--(Attendance[Session Type]="Training"),0))&gt;0,"Y","")</f>
        <v/>
      </c>
      <c r="K11" s="286" t="str" cm="1">
        <f t="array" ref="K11">IF(SUMPRODUCT(IFERROR(--(INT(Attendance[Start time])=Training_Attendance[[#This Row],[Date]]),0)*IFERROR(--(ISNUMBER(SEARCH(K$1,Attendance[Attendees]))),0)*IFERROR(--(Attendance[Session Type]="Training"),0))&gt;0,"Y","")</f>
        <v/>
      </c>
      <c r="L11" s="286" t="str" cm="1">
        <f t="array" ref="L11">IF(SUMPRODUCT(IFERROR(--(INT(Attendance[Start time])=Training_Attendance[[#This Row],[Date]]),0)*IFERROR(--(ISNUMBER(SEARCH(L$1,Attendance[Attendees]))),0)*IFERROR(--(Attendance[Session Type]="Training"),0))&gt;0,"Y","")</f>
        <v/>
      </c>
      <c r="M11" s="286" t="str" cm="1">
        <f t="array" ref="M11">IF(SUMPRODUCT(IFERROR(--(INT(Attendance[Start time])=Training_Attendance[[#This Row],[Date]]),0)*IFERROR(--(ISNUMBER(SEARCH(M$1,Attendance[Attendees]))),0)*IFERROR(--(Attendance[Session Type]="Training"),0))&gt;0,"Y","")</f>
        <v/>
      </c>
      <c r="N11" s="286" t="str" cm="1">
        <f t="array" ref="N11">IF(SUMPRODUCT(IFERROR(--(INT(Attendance[Start time])=Training_Attendance[[#This Row],[Date]]),0)*IFERROR(--(ISNUMBER(SEARCH(N$1,Attendance[Attendees]))),0)*IFERROR(--(Attendance[Session Type]="Training"),0))&gt;0,"Y","")</f>
        <v/>
      </c>
      <c r="O11" s="286" t="str" cm="1">
        <f t="array" ref="O11">IF(SUMPRODUCT(IFERROR(--(INT(Attendance[Start time])=Training_Attendance[[#This Row],[Date]]),0)*IFERROR(--(ISNUMBER(SEARCH(O$1,Attendance[Attendees]))),0)*IFERROR(--(Attendance[Session Type]="Training"),0))&gt;0,"Y","")</f>
        <v/>
      </c>
      <c r="P11" s="286" t="str" cm="1">
        <f t="array" ref="P11">IF(SUMPRODUCT(IFERROR(--(INT(Attendance[Start time])=Training_Attendance[[#This Row],[Date]]),0)*IFERROR(--(ISNUMBER(SEARCH(P$1,Attendance[Attendees]))),0)*IFERROR(--(Attendance[Session Type]="Training"),0))&gt;0,"Y","")</f>
        <v/>
      </c>
      <c r="Q11" s="286" t="str" cm="1">
        <f t="array" ref="Q11">IF(SUMPRODUCT(IFERROR(--(INT(Attendance[Start time])=Training_Attendance[[#This Row],[Date]]),0)*IFERROR(--(ISNUMBER(SEARCH(Q$1,Attendance[Attendees]))),0)*IFERROR(--(Attendance[Session Type]="Training"),0))&gt;0,"Y","")</f>
        <v/>
      </c>
      <c r="R11" s="286" t="str" cm="1">
        <f t="array" ref="R11">IF(SUMPRODUCT(IFERROR(--(INT(Attendance[Start time])=Training_Attendance[[#This Row],[Date]]),0)*IFERROR(--(ISNUMBER(SEARCH(R$1,Attendance[Attendees]))),0)*IFERROR(--(Attendance[Session Type]="Training"),0))&gt;0,"Y","")</f>
        <v/>
      </c>
      <c r="S11" s="286" t="str" cm="1">
        <f t="array" ref="S11">IF(SUMPRODUCT(IFERROR(--(INT(Attendance[Start time])=Training_Attendance[[#This Row],[Date]]),0)*IFERROR(--(ISNUMBER(SEARCH(S$1,Attendance[Attendees]))),0)*IFERROR(--(Attendance[Session Type]="Training"),0))&gt;0,"Y","")</f>
        <v/>
      </c>
      <c r="T11" s="286" t="str" cm="1">
        <f t="array" ref="T11">IF(SUMPRODUCT(IFERROR(--(INT(Attendance[Start time])=Training_Attendance[[#This Row],[Date]]),0)*IFERROR(--(ISNUMBER(SEARCH(T$1,Attendance[Attendees]))),0)*IFERROR(--(Attendance[Session Type]="Training"),0))&gt;0,"Y","")</f>
        <v/>
      </c>
      <c r="U11" s="286" t="str" cm="1">
        <f t="array" ref="U11">IF(SUMPRODUCT(IFERROR(--(INT(Attendance[Start time])=Training_Attendance[[#This Row],[Date]]),0)*IFERROR(--(ISNUMBER(SEARCH(U$1,Attendance[Attendees]))),0)*IFERROR(--(Attendance[Session Type]="Training"),0))&gt;0,"Y","")</f>
        <v/>
      </c>
      <c r="V11" s="286" t="str" cm="1">
        <f t="array" ref="V11">IF(SUMPRODUCT(IFERROR(--(INT(Attendance[Start time])=Training_Attendance[[#This Row],[Date]]),0)*IFERROR(--(ISNUMBER(SEARCH(V$1,Attendance[Attendees]))),0)*IFERROR(--(Attendance[Session Type]="Training"),0))&gt;0,"Y","")</f>
        <v/>
      </c>
      <c r="W11" s="286" t="str" cm="1">
        <f t="array" ref="W11">IF(SUMPRODUCT(IFERROR(--(INT(Attendance[Start time])=Training_Attendance[[#This Row],[Date]]),0)*IFERROR(--(ISNUMBER(SEARCH(W$1,Attendance[Attendees]))),0)*IFERROR(--(Attendance[Session Type]="Training"),0))&gt;0,"Y","")</f>
        <v/>
      </c>
      <c r="X11" s="286" t="str" cm="1">
        <f t="array" ref="X11">IF(SUMPRODUCT(IFERROR(--(INT(Attendance[Start time])=Training_Attendance[[#This Row],[Date]]),0)*IFERROR(--(ISNUMBER(SEARCH(X$1,Attendance[Attendees]))),0)*IFERROR(--(Attendance[Session Type]="Training"),0))&gt;0,"Y","")</f>
        <v/>
      </c>
      <c r="Y11" s="286" t="str" cm="1">
        <f t="array" ref="Y11">IF(SUMPRODUCT(IFERROR(--(INT(Attendance[Start time])=Training_Attendance[[#This Row],[Date]]),0)*IFERROR(--(ISNUMBER(SEARCH(Y$1,Attendance[Attendees]))),0)*IFERROR(--(Attendance[Session Type]="Training"),0))&gt;0,"Y","")</f>
        <v/>
      </c>
      <c r="Z11" s="286" t="str" cm="1">
        <f t="array" ref="Z11">IF(SUMPRODUCT(IFERROR(--(INT(Attendance[Start time])=Training_Attendance[[#This Row],[Date]]),0)*IFERROR(--(ISNUMBER(SEARCH(Z$1,Attendance[Attendees]))),0)*IFERROR(--(Attendance[Session Type]="Training"),0))&gt;0,"Y","")</f>
        <v/>
      </c>
      <c r="AA11" s="286" t="str" cm="1">
        <f t="array" ref="AA11">IF(SUMPRODUCT(IFERROR(--(INT(Attendance[Start time])=Training_Attendance[[#This Row],[Date]]),0)*IFERROR(--(ISNUMBER(SEARCH(AA$1,Attendance[Attendees]))),0)*IFERROR(--(Attendance[Session Type]="Training"),0))&gt;0,"Y","")</f>
        <v/>
      </c>
      <c r="AB11" s="286" t="str" cm="1">
        <f t="array" ref="AB11">IF(SUMPRODUCT(IFERROR(--(INT(Attendance[Start time])=Training_Attendance[[#This Row],[Date]]),0)*IFERROR(--(ISNUMBER(SEARCH(AB$1,Attendance[Attendees]))),0)*IFERROR(--(Attendance[Session Type]="Training"),0))&gt;0,"Y","")</f>
        <v/>
      </c>
      <c r="AC11" s="286" t="str" cm="1">
        <f t="array" ref="AC11">IF(SUMPRODUCT(IFERROR(--(INT(Attendance[Start time])=Training_Attendance[[#This Row],[Date]]),0)*IFERROR(--(ISNUMBER(SEARCH(AC$1,Attendance[Attendees]))),0)*IFERROR(--(Attendance[Session Type]="Training"),0))&gt;0,"Y","")</f>
        <v/>
      </c>
      <c r="AD11" s="265">
        <f>COUNTIF(Training_Attendance[[#This Row],[Alf M]:[Ronnie D]],"Y")</f>
        <v>0</v>
      </c>
    </row>
    <row r="12" spans="1:31" s="266" customFormat="1" ht="16" customHeight="1" x14ac:dyDescent="0.35">
      <c r="A12" s="225">
        <v>46337</v>
      </c>
      <c r="B12" s="220">
        <f>Training_Attendance[[#This Row],[Date]]</f>
        <v>46337</v>
      </c>
      <c r="C12" s="166" t="s">
        <v>84</v>
      </c>
      <c r="D12" s="286" t="str" cm="1">
        <f t="array" ref="D12">IF(SUMPRODUCT(IFERROR(--(INT(Attendance[Start time])=Training_Attendance[[#This Row],[Date]]),0)*IFERROR(--(ISNUMBER(SEARCH(D$1,Attendance[Attendees]))),0)*IFERROR(--(Attendance[Session Type]="Training"),0))&gt;0,"Y","")</f>
        <v/>
      </c>
      <c r="E12" s="286" t="str" cm="1">
        <f t="array" ref="E12">IF(SUMPRODUCT(IFERROR(--(INT(Attendance[Start time])=Training_Attendance[[#This Row],[Date]]),0)*IFERROR(--(ISNUMBER(SEARCH(E$1,Attendance[Attendees]))),0)*IFERROR(--(Attendance[Session Type]="Training"),0))&gt;0,"Y","")</f>
        <v/>
      </c>
      <c r="F12" s="286" t="str" cm="1">
        <f t="array" ref="F12">IF(SUMPRODUCT(IFERROR(--(INT(Attendance[Start time])=Training_Attendance[[#This Row],[Date]]),0)*IFERROR(--(ISNUMBER(SEARCH(F$1,Attendance[Attendees]))),0)*IFERROR(--(Attendance[Session Type]="Training"),0))&gt;0,"Y","")</f>
        <v/>
      </c>
      <c r="G12" s="286" t="str" cm="1">
        <f t="array" ref="G12">IF(SUMPRODUCT(IFERROR(--(INT(Attendance[Start time])=Training_Attendance[[#This Row],[Date]]),0)*IFERROR(--(ISNUMBER(SEARCH(G$1,Attendance[Attendees]))),0)*IFERROR(--(Attendance[Session Type]="Training"),0))&gt;0,"Y","")</f>
        <v/>
      </c>
      <c r="H12" s="286" t="str" cm="1">
        <f t="array" ref="H12">IF(SUMPRODUCT(IFERROR(--(INT(Attendance[Start time])=Training_Attendance[[#This Row],[Date]]),0)*IFERROR(--(ISNUMBER(SEARCH(H$1,Attendance[Attendees]))),0)*IFERROR(--(Attendance[Session Type]="Training"),0))&gt;0,"Y","")</f>
        <v/>
      </c>
      <c r="I12" s="286" t="str" cm="1">
        <f t="array" ref="I12">IF(SUMPRODUCT(IFERROR(--(INT(Attendance[Start time])=Training_Attendance[[#This Row],[Date]]),0)*IFERROR(--(ISNUMBER(SEARCH(I$1,Attendance[Attendees]))),0)*IFERROR(--(Attendance[Session Type]="Training"),0))&gt;0,"Y","")</f>
        <v/>
      </c>
      <c r="J12" s="286" t="str" cm="1">
        <f t="array" ref="J12">IF(SUMPRODUCT(IFERROR(--(INT(Attendance[Start time])=Training_Attendance[[#This Row],[Date]]),0)*IFERROR(--(ISNUMBER(SEARCH(J$1,Attendance[Attendees]))),0)*IFERROR(--(Attendance[Session Type]="Training"),0))&gt;0,"Y","")</f>
        <v/>
      </c>
      <c r="K12" s="286" t="str" cm="1">
        <f t="array" ref="K12">IF(SUMPRODUCT(IFERROR(--(INT(Attendance[Start time])=Training_Attendance[[#This Row],[Date]]),0)*IFERROR(--(ISNUMBER(SEARCH(K$1,Attendance[Attendees]))),0)*IFERROR(--(Attendance[Session Type]="Training"),0))&gt;0,"Y","")</f>
        <v/>
      </c>
      <c r="L12" s="286" t="str" cm="1">
        <f t="array" ref="L12">IF(SUMPRODUCT(IFERROR(--(INT(Attendance[Start time])=Training_Attendance[[#This Row],[Date]]),0)*IFERROR(--(ISNUMBER(SEARCH(L$1,Attendance[Attendees]))),0)*IFERROR(--(Attendance[Session Type]="Training"),0))&gt;0,"Y","")</f>
        <v/>
      </c>
      <c r="M12" s="286" t="str" cm="1">
        <f t="array" ref="M12">IF(SUMPRODUCT(IFERROR(--(INT(Attendance[Start time])=Training_Attendance[[#This Row],[Date]]),0)*IFERROR(--(ISNUMBER(SEARCH(M$1,Attendance[Attendees]))),0)*IFERROR(--(Attendance[Session Type]="Training"),0))&gt;0,"Y","")</f>
        <v/>
      </c>
      <c r="N12" s="286" t="str" cm="1">
        <f t="array" ref="N12">IF(SUMPRODUCT(IFERROR(--(INT(Attendance[Start time])=Training_Attendance[[#This Row],[Date]]),0)*IFERROR(--(ISNUMBER(SEARCH(N$1,Attendance[Attendees]))),0)*IFERROR(--(Attendance[Session Type]="Training"),0))&gt;0,"Y","")</f>
        <v/>
      </c>
      <c r="O12" s="286" t="str" cm="1">
        <f t="array" ref="O12">IF(SUMPRODUCT(IFERROR(--(INT(Attendance[Start time])=Training_Attendance[[#This Row],[Date]]),0)*IFERROR(--(ISNUMBER(SEARCH(O$1,Attendance[Attendees]))),0)*IFERROR(--(Attendance[Session Type]="Training"),0))&gt;0,"Y","")</f>
        <v/>
      </c>
      <c r="P12" s="286" t="str" cm="1">
        <f t="array" ref="P12">IF(SUMPRODUCT(IFERROR(--(INT(Attendance[Start time])=Training_Attendance[[#This Row],[Date]]),0)*IFERROR(--(ISNUMBER(SEARCH(P$1,Attendance[Attendees]))),0)*IFERROR(--(Attendance[Session Type]="Training"),0))&gt;0,"Y","")</f>
        <v/>
      </c>
      <c r="Q12" s="286" t="str" cm="1">
        <f t="array" ref="Q12">IF(SUMPRODUCT(IFERROR(--(INT(Attendance[Start time])=Training_Attendance[[#This Row],[Date]]),0)*IFERROR(--(ISNUMBER(SEARCH(Q$1,Attendance[Attendees]))),0)*IFERROR(--(Attendance[Session Type]="Training"),0))&gt;0,"Y","")</f>
        <v/>
      </c>
      <c r="R12" s="286" t="str" cm="1">
        <f t="array" ref="R12">IF(SUMPRODUCT(IFERROR(--(INT(Attendance[Start time])=Training_Attendance[[#This Row],[Date]]),0)*IFERROR(--(ISNUMBER(SEARCH(R$1,Attendance[Attendees]))),0)*IFERROR(--(Attendance[Session Type]="Training"),0))&gt;0,"Y","")</f>
        <v/>
      </c>
      <c r="S12" s="286" t="str" cm="1">
        <f t="array" ref="S12">IF(SUMPRODUCT(IFERROR(--(INT(Attendance[Start time])=Training_Attendance[[#This Row],[Date]]),0)*IFERROR(--(ISNUMBER(SEARCH(S$1,Attendance[Attendees]))),0)*IFERROR(--(Attendance[Session Type]="Training"),0))&gt;0,"Y","")</f>
        <v/>
      </c>
      <c r="T12" s="286" t="str" cm="1">
        <f t="array" ref="T12">IF(SUMPRODUCT(IFERROR(--(INT(Attendance[Start time])=Training_Attendance[[#This Row],[Date]]),0)*IFERROR(--(ISNUMBER(SEARCH(T$1,Attendance[Attendees]))),0)*IFERROR(--(Attendance[Session Type]="Training"),0))&gt;0,"Y","")</f>
        <v/>
      </c>
      <c r="U12" s="286" t="str" cm="1">
        <f t="array" ref="U12">IF(SUMPRODUCT(IFERROR(--(INT(Attendance[Start time])=Training_Attendance[[#This Row],[Date]]),0)*IFERROR(--(ISNUMBER(SEARCH(U$1,Attendance[Attendees]))),0)*IFERROR(--(Attendance[Session Type]="Training"),0))&gt;0,"Y","")</f>
        <v/>
      </c>
      <c r="V12" s="286" t="str" cm="1">
        <f t="array" ref="V12">IF(SUMPRODUCT(IFERROR(--(INT(Attendance[Start time])=Training_Attendance[[#This Row],[Date]]),0)*IFERROR(--(ISNUMBER(SEARCH(V$1,Attendance[Attendees]))),0)*IFERROR(--(Attendance[Session Type]="Training"),0))&gt;0,"Y","")</f>
        <v/>
      </c>
      <c r="W12" s="286" t="str" cm="1">
        <f t="array" ref="W12">IF(SUMPRODUCT(IFERROR(--(INT(Attendance[Start time])=Training_Attendance[[#This Row],[Date]]),0)*IFERROR(--(ISNUMBER(SEARCH(W$1,Attendance[Attendees]))),0)*IFERROR(--(Attendance[Session Type]="Training"),0))&gt;0,"Y","")</f>
        <v/>
      </c>
      <c r="X12" s="286" t="str" cm="1">
        <f t="array" ref="X12">IF(SUMPRODUCT(IFERROR(--(INT(Attendance[Start time])=Training_Attendance[[#This Row],[Date]]),0)*IFERROR(--(ISNUMBER(SEARCH(X$1,Attendance[Attendees]))),0)*IFERROR(--(Attendance[Session Type]="Training"),0))&gt;0,"Y","")</f>
        <v/>
      </c>
      <c r="Y12" s="286" t="str" cm="1">
        <f t="array" ref="Y12">IF(SUMPRODUCT(IFERROR(--(INT(Attendance[Start time])=Training_Attendance[[#This Row],[Date]]),0)*IFERROR(--(ISNUMBER(SEARCH(Y$1,Attendance[Attendees]))),0)*IFERROR(--(Attendance[Session Type]="Training"),0))&gt;0,"Y","")</f>
        <v/>
      </c>
      <c r="Z12" s="286" t="str" cm="1">
        <f t="array" ref="Z12">IF(SUMPRODUCT(IFERROR(--(INT(Attendance[Start time])=Training_Attendance[[#This Row],[Date]]),0)*IFERROR(--(ISNUMBER(SEARCH(Z$1,Attendance[Attendees]))),0)*IFERROR(--(Attendance[Session Type]="Training"),0))&gt;0,"Y","")</f>
        <v/>
      </c>
      <c r="AA12" s="286" t="str" cm="1">
        <f t="array" ref="AA12">IF(SUMPRODUCT(IFERROR(--(INT(Attendance[Start time])=Training_Attendance[[#This Row],[Date]]),0)*IFERROR(--(ISNUMBER(SEARCH(AA$1,Attendance[Attendees]))),0)*IFERROR(--(Attendance[Session Type]="Training"),0))&gt;0,"Y","")</f>
        <v/>
      </c>
      <c r="AB12" s="286" t="str" cm="1">
        <f t="array" ref="AB12">IF(SUMPRODUCT(IFERROR(--(INT(Attendance[Start time])=Training_Attendance[[#This Row],[Date]]),0)*IFERROR(--(ISNUMBER(SEARCH(AB$1,Attendance[Attendees]))),0)*IFERROR(--(Attendance[Session Type]="Training"),0))&gt;0,"Y","")</f>
        <v/>
      </c>
      <c r="AC12" s="286" t="str" cm="1">
        <f t="array" ref="AC12">IF(SUMPRODUCT(IFERROR(--(INT(Attendance[Start time])=Training_Attendance[[#This Row],[Date]]),0)*IFERROR(--(ISNUMBER(SEARCH(AC$1,Attendance[Attendees]))),0)*IFERROR(--(Attendance[Session Type]="Training"),0))&gt;0,"Y","")</f>
        <v/>
      </c>
      <c r="AD12" s="265">
        <f>COUNTIF(Training_Attendance[[#This Row],[Alf M]:[Ronnie D]],"Y")</f>
        <v>0</v>
      </c>
    </row>
    <row r="13" spans="1:31" s="266" customFormat="1" ht="16" customHeight="1" x14ac:dyDescent="0.35">
      <c r="A13" s="225">
        <v>46344</v>
      </c>
      <c r="B13" s="220">
        <f>Training_Attendance[[#This Row],[Date]]</f>
        <v>46344</v>
      </c>
      <c r="C13" s="166" t="s">
        <v>84</v>
      </c>
      <c r="D13" s="286" t="str" cm="1">
        <f t="array" ref="D13">IF(SUMPRODUCT(IFERROR(--(INT(Attendance[Start time])=Training_Attendance[[#This Row],[Date]]),0)*IFERROR(--(ISNUMBER(SEARCH(D$1,Attendance[Attendees]))),0)*IFERROR(--(Attendance[Session Type]="Training"),0))&gt;0,"Y","")</f>
        <v/>
      </c>
      <c r="E13" s="286" t="str" cm="1">
        <f t="array" ref="E13">IF(SUMPRODUCT(IFERROR(--(INT(Attendance[Start time])=Training_Attendance[[#This Row],[Date]]),0)*IFERROR(--(ISNUMBER(SEARCH(E$1,Attendance[Attendees]))),0)*IFERROR(--(Attendance[Session Type]="Training"),0))&gt;0,"Y","")</f>
        <v/>
      </c>
      <c r="F13" s="286" t="str" cm="1">
        <f t="array" ref="F13">IF(SUMPRODUCT(IFERROR(--(INT(Attendance[Start time])=Training_Attendance[[#This Row],[Date]]),0)*IFERROR(--(ISNUMBER(SEARCH(F$1,Attendance[Attendees]))),0)*IFERROR(--(Attendance[Session Type]="Training"),0))&gt;0,"Y","")</f>
        <v/>
      </c>
      <c r="G13" s="286" t="str" cm="1">
        <f t="array" ref="G13">IF(SUMPRODUCT(IFERROR(--(INT(Attendance[Start time])=Training_Attendance[[#This Row],[Date]]),0)*IFERROR(--(ISNUMBER(SEARCH(G$1,Attendance[Attendees]))),0)*IFERROR(--(Attendance[Session Type]="Training"),0))&gt;0,"Y","")</f>
        <v/>
      </c>
      <c r="H13" s="286" t="str" cm="1">
        <f t="array" ref="H13">IF(SUMPRODUCT(IFERROR(--(INT(Attendance[Start time])=Training_Attendance[[#This Row],[Date]]),0)*IFERROR(--(ISNUMBER(SEARCH(H$1,Attendance[Attendees]))),0)*IFERROR(--(Attendance[Session Type]="Training"),0))&gt;0,"Y","")</f>
        <v/>
      </c>
      <c r="I13" s="286" t="str" cm="1">
        <f t="array" ref="I13">IF(SUMPRODUCT(IFERROR(--(INT(Attendance[Start time])=Training_Attendance[[#This Row],[Date]]),0)*IFERROR(--(ISNUMBER(SEARCH(I$1,Attendance[Attendees]))),0)*IFERROR(--(Attendance[Session Type]="Training"),0))&gt;0,"Y","")</f>
        <v/>
      </c>
      <c r="J13" s="286" t="str" cm="1">
        <f t="array" ref="J13">IF(SUMPRODUCT(IFERROR(--(INT(Attendance[Start time])=Training_Attendance[[#This Row],[Date]]),0)*IFERROR(--(ISNUMBER(SEARCH(J$1,Attendance[Attendees]))),0)*IFERROR(--(Attendance[Session Type]="Training"),0))&gt;0,"Y","")</f>
        <v/>
      </c>
      <c r="K13" s="286" t="str" cm="1">
        <f t="array" ref="K13">IF(SUMPRODUCT(IFERROR(--(INT(Attendance[Start time])=Training_Attendance[[#This Row],[Date]]),0)*IFERROR(--(ISNUMBER(SEARCH(K$1,Attendance[Attendees]))),0)*IFERROR(--(Attendance[Session Type]="Training"),0))&gt;0,"Y","")</f>
        <v/>
      </c>
      <c r="L13" s="286" t="str" cm="1">
        <f t="array" ref="L13">IF(SUMPRODUCT(IFERROR(--(INT(Attendance[Start time])=Training_Attendance[[#This Row],[Date]]),0)*IFERROR(--(ISNUMBER(SEARCH(L$1,Attendance[Attendees]))),0)*IFERROR(--(Attendance[Session Type]="Training"),0))&gt;0,"Y","")</f>
        <v/>
      </c>
      <c r="M13" s="286" t="str" cm="1">
        <f t="array" ref="M13">IF(SUMPRODUCT(IFERROR(--(INT(Attendance[Start time])=Training_Attendance[[#This Row],[Date]]),0)*IFERROR(--(ISNUMBER(SEARCH(M$1,Attendance[Attendees]))),0)*IFERROR(--(Attendance[Session Type]="Training"),0))&gt;0,"Y","")</f>
        <v/>
      </c>
      <c r="N13" s="286" t="str" cm="1">
        <f t="array" ref="N13">IF(SUMPRODUCT(IFERROR(--(INT(Attendance[Start time])=Training_Attendance[[#This Row],[Date]]),0)*IFERROR(--(ISNUMBER(SEARCH(N$1,Attendance[Attendees]))),0)*IFERROR(--(Attendance[Session Type]="Training"),0))&gt;0,"Y","")</f>
        <v/>
      </c>
      <c r="O13" s="286" t="str" cm="1">
        <f t="array" ref="O13">IF(SUMPRODUCT(IFERROR(--(INT(Attendance[Start time])=Training_Attendance[[#This Row],[Date]]),0)*IFERROR(--(ISNUMBER(SEARCH(O$1,Attendance[Attendees]))),0)*IFERROR(--(Attendance[Session Type]="Training"),0))&gt;0,"Y","")</f>
        <v/>
      </c>
      <c r="P13" s="286" t="str" cm="1">
        <f t="array" ref="P13">IF(SUMPRODUCT(IFERROR(--(INT(Attendance[Start time])=Training_Attendance[[#This Row],[Date]]),0)*IFERROR(--(ISNUMBER(SEARCH(P$1,Attendance[Attendees]))),0)*IFERROR(--(Attendance[Session Type]="Training"),0))&gt;0,"Y","")</f>
        <v/>
      </c>
      <c r="Q13" s="286" t="str" cm="1">
        <f t="array" ref="Q13">IF(SUMPRODUCT(IFERROR(--(INT(Attendance[Start time])=Training_Attendance[[#This Row],[Date]]),0)*IFERROR(--(ISNUMBER(SEARCH(Q$1,Attendance[Attendees]))),0)*IFERROR(--(Attendance[Session Type]="Training"),0))&gt;0,"Y","")</f>
        <v/>
      </c>
      <c r="R13" s="286" t="str" cm="1">
        <f t="array" ref="R13">IF(SUMPRODUCT(IFERROR(--(INT(Attendance[Start time])=Training_Attendance[[#This Row],[Date]]),0)*IFERROR(--(ISNUMBER(SEARCH(R$1,Attendance[Attendees]))),0)*IFERROR(--(Attendance[Session Type]="Training"),0))&gt;0,"Y","")</f>
        <v/>
      </c>
      <c r="S13" s="286" t="str" cm="1">
        <f t="array" ref="S13">IF(SUMPRODUCT(IFERROR(--(INT(Attendance[Start time])=Training_Attendance[[#This Row],[Date]]),0)*IFERROR(--(ISNUMBER(SEARCH(S$1,Attendance[Attendees]))),0)*IFERROR(--(Attendance[Session Type]="Training"),0))&gt;0,"Y","")</f>
        <v/>
      </c>
      <c r="T13" s="286" t="str" cm="1">
        <f t="array" ref="T13">IF(SUMPRODUCT(IFERROR(--(INT(Attendance[Start time])=Training_Attendance[[#This Row],[Date]]),0)*IFERROR(--(ISNUMBER(SEARCH(T$1,Attendance[Attendees]))),0)*IFERROR(--(Attendance[Session Type]="Training"),0))&gt;0,"Y","")</f>
        <v/>
      </c>
      <c r="U13" s="286" t="str" cm="1">
        <f t="array" ref="U13">IF(SUMPRODUCT(IFERROR(--(INT(Attendance[Start time])=Training_Attendance[[#This Row],[Date]]),0)*IFERROR(--(ISNUMBER(SEARCH(U$1,Attendance[Attendees]))),0)*IFERROR(--(Attendance[Session Type]="Training"),0))&gt;0,"Y","")</f>
        <v/>
      </c>
      <c r="V13" s="286" t="str" cm="1">
        <f t="array" ref="V13">IF(SUMPRODUCT(IFERROR(--(INT(Attendance[Start time])=Training_Attendance[[#This Row],[Date]]),0)*IFERROR(--(ISNUMBER(SEARCH(V$1,Attendance[Attendees]))),0)*IFERROR(--(Attendance[Session Type]="Training"),0))&gt;0,"Y","")</f>
        <v/>
      </c>
      <c r="W13" s="286" t="str" cm="1">
        <f t="array" ref="W13">IF(SUMPRODUCT(IFERROR(--(INT(Attendance[Start time])=Training_Attendance[[#This Row],[Date]]),0)*IFERROR(--(ISNUMBER(SEARCH(W$1,Attendance[Attendees]))),0)*IFERROR(--(Attendance[Session Type]="Training"),0))&gt;0,"Y","")</f>
        <v/>
      </c>
      <c r="X13" s="286" t="str" cm="1">
        <f t="array" ref="X13">IF(SUMPRODUCT(IFERROR(--(INT(Attendance[Start time])=Training_Attendance[[#This Row],[Date]]),0)*IFERROR(--(ISNUMBER(SEARCH(X$1,Attendance[Attendees]))),0)*IFERROR(--(Attendance[Session Type]="Training"),0))&gt;0,"Y","")</f>
        <v/>
      </c>
      <c r="Y13" s="286" t="str" cm="1">
        <f t="array" ref="Y13">IF(SUMPRODUCT(IFERROR(--(INT(Attendance[Start time])=Training_Attendance[[#This Row],[Date]]),0)*IFERROR(--(ISNUMBER(SEARCH(Y$1,Attendance[Attendees]))),0)*IFERROR(--(Attendance[Session Type]="Training"),0))&gt;0,"Y","")</f>
        <v/>
      </c>
      <c r="Z13" s="286" t="str" cm="1">
        <f t="array" ref="Z13">IF(SUMPRODUCT(IFERROR(--(INT(Attendance[Start time])=Training_Attendance[[#This Row],[Date]]),0)*IFERROR(--(ISNUMBER(SEARCH(Z$1,Attendance[Attendees]))),0)*IFERROR(--(Attendance[Session Type]="Training"),0))&gt;0,"Y","")</f>
        <v/>
      </c>
      <c r="AA13" s="286" t="str" cm="1">
        <f t="array" ref="AA13">IF(SUMPRODUCT(IFERROR(--(INT(Attendance[Start time])=Training_Attendance[[#This Row],[Date]]),0)*IFERROR(--(ISNUMBER(SEARCH(AA$1,Attendance[Attendees]))),0)*IFERROR(--(Attendance[Session Type]="Training"),0))&gt;0,"Y","")</f>
        <v/>
      </c>
      <c r="AB13" s="286" t="str" cm="1">
        <f t="array" ref="AB13">IF(SUMPRODUCT(IFERROR(--(INT(Attendance[Start time])=Training_Attendance[[#This Row],[Date]]),0)*IFERROR(--(ISNUMBER(SEARCH(AB$1,Attendance[Attendees]))),0)*IFERROR(--(Attendance[Session Type]="Training"),0))&gt;0,"Y","")</f>
        <v/>
      </c>
      <c r="AC13" s="286" t="str" cm="1">
        <f t="array" ref="AC13">IF(SUMPRODUCT(IFERROR(--(INT(Attendance[Start time])=Training_Attendance[[#This Row],[Date]]),0)*IFERROR(--(ISNUMBER(SEARCH(AC$1,Attendance[Attendees]))),0)*IFERROR(--(Attendance[Session Type]="Training"),0))&gt;0,"Y","")</f>
        <v/>
      </c>
      <c r="AD13" s="265">
        <f>COUNTIF(Training_Attendance[[#This Row],[Alf M]:[Ronnie D]],"Y")</f>
        <v>0</v>
      </c>
    </row>
    <row r="14" spans="1:31" s="266" customFormat="1" ht="16" customHeight="1" x14ac:dyDescent="0.35">
      <c r="A14" s="225">
        <v>46351</v>
      </c>
      <c r="B14" s="220">
        <f>Training_Attendance[[#This Row],[Date]]</f>
        <v>46351</v>
      </c>
      <c r="C14" s="166" t="s">
        <v>84</v>
      </c>
      <c r="D14" s="286" t="str" cm="1">
        <f t="array" ref="D14">IF(SUMPRODUCT(IFERROR(--(INT(Attendance[Start time])=Training_Attendance[[#This Row],[Date]]),0)*IFERROR(--(ISNUMBER(SEARCH(D$1,Attendance[Attendees]))),0)*IFERROR(--(Attendance[Session Type]="Training"),0))&gt;0,"Y","")</f>
        <v/>
      </c>
      <c r="E14" s="286" t="str" cm="1">
        <f t="array" ref="E14">IF(SUMPRODUCT(IFERROR(--(INT(Attendance[Start time])=Training_Attendance[[#This Row],[Date]]),0)*IFERROR(--(ISNUMBER(SEARCH(E$1,Attendance[Attendees]))),0)*IFERROR(--(Attendance[Session Type]="Training"),0))&gt;0,"Y","")</f>
        <v/>
      </c>
      <c r="F14" s="286" t="str" cm="1">
        <f t="array" ref="F14">IF(SUMPRODUCT(IFERROR(--(INT(Attendance[Start time])=Training_Attendance[[#This Row],[Date]]),0)*IFERROR(--(ISNUMBER(SEARCH(F$1,Attendance[Attendees]))),0)*IFERROR(--(Attendance[Session Type]="Training"),0))&gt;0,"Y","")</f>
        <v/>
      </c>
      <c r="G14" s="286" t="str" cm="1">
        <f t="array" ref="G14">IF(SUMPRODUCT(IFERROR(--(INT(Attendance[Start time])=Training_Attendance[[#This Row],[Date]]),0)*IFERROR(--(ISNUMBER(SEARCH(G$1,Attendance[Attendees]))),0)*IFERROR(--(Attendance[Session Type]="Training"),0))&gt;0,"Y","")</f>
        <v/>
      </c>
      <c r="H14" s="286" t="str" cm="1">
        <f t="array" ref="H14">IF(SUMPRODUCT(IFERROR(--(INT(Attendance[Start time])=Training_Attendance[[#This Row],[Date]]),0)*IFERROR(--(ISNUMBER(SEARCH(H$1,Attendance[Attendees]))),0)*IFERROR(--(Attendance[Session Type]="Training"),0))&gt;0,"Y","")</f>
        <v/>
      </c>
      <c r="I14" s="286" t="str" cm="1">
        <f t="array" ref="I14">IF(SUMPRODUCT(IFERROR(--(INT(Attendance[Start time])=Training_Attendance[[#This Row],[Date]]),0)*IFERROR(--(ISNUMBER(SEARCH(I$1,Attendance[Attendees]))),0)*IFERROR(--(Attendance[Session Type]="Training"),0))&gt;0,"Y","")</f>
        <v/>
      </c>
      <c r="J14" s="286" t="str" cm="1">
        <f t="array" ref="J14">IF(SUMPRODUCT(IFERROR(--(INT(Attendance[Start time])=Training_Attendance[[#This Row],[Date]]),0)*IFERROR(--(ISNUMBER(SEARCH(J$1,Attendance[Attendees]))),0)*IFERROR(--(Attendance[Session Type]="Training"),0))&gt;0,"Y","")</f>
        <v/>
      </c>
      <c r="K14" s="286" t="str" cm="1">
        <f t="array" ref="K14">IF(SUMPRODUCT(IFERROR(--(INT(Attendance[Start time])=Training_Attendance[[#This Row],[Date]]),0)*IFERROR(--(ISNUMBER(SEARCH(K$1,Attendance[Attendees]))),0)*IFERROR(--(Attendance[Session Type]="Training"),0))&gt;0,"Y","")</f>
        <v/>
      </c>
      <c r="L14" s="286" t="str" cm="1">
        <f t="array" ref="L14">IF(SUMPRODUCT(IFERROR(--(INT(Attendance[Start time])=Training_Attendance[[#This Row],[Date]]),0)*IFERROR(--(ISNUMBER(SEARCH(L$1,Attendance[Attendees]))),0)*IFERROR(--(Attendance[Session Type]="Training"),0))&gt;0,"Y","")</f>
        <v/>
      </c>
      <c r="M14" s="286" t="str" cm="1">
        <f t="array" ref="M14">IF(SUMPRODUCT(IFERROR(--(INT(Attendance[Start time])=Training_Attendance[[#This Row],[Date]]),0)*IFERROR(--(ISNUMBER(SEARCH(M$1,Attendance[Attendees]))),0)*IFERROR(--(Attendance[Session Type]="Training"),0))&gt;0,"Y","")</f>
        <v/>
      </c>
      <c r="N14" s="286" t="str" cm="1">
        <f t="array" ref="N14">IF(SUMPRODUCT(IFERROR(--(INT(Attendance[Start time])=Training_Attendance[[#This Row],[Date]]),0)*IFERROR(--(ISNUMBER(SEARCH(N$1,Attendance[Attendees]))),0)*IFERROR(--(Attendance[Session Type]="Training"),0))&gt;0,"Y","")</f>
        <v/>
      </c>
      <c r="O14" s="286" t="str" cm="1">
        <f t="array" ref="O14">IF(SUMPRODUCT(IFERROR(--(INT(Attendance[Start time])=Training_Attendance[[#This Row],[Date]]),0)*IFERROR(--(ISNUMBER(SEARCH(O$1,Attendance[Attendees]))),0)*IFERROR(--(Attendance[Session Type]="Training"),0))&gt;0,"Y","")</f>
        <v/>
      </c>
      <c r="P14" s="286" t="str" cm="1">
        <f t="array" ref="P14">IF(SUMPRODUCT(IFERROR(--(INT(Attendance[Start time])=Training_Attendance[[#This Row],[Date]]),0)*IFERROR(--(ISNUMBER(SEARCH(P$1,Attendance[Attendees]))),0)*IFERROR(--(Attendance[Session Type]="Training"),0))&gt;0,"Y","")</f>
        <v/>
      </c>
      <c r="Q14" s="286" t="str" cm="1">
        <f t="array" ref="Q14">IF(SUMPRODUCT(IFERROR(--(INT(Attendance[Start time])=Training_Attendance[[#This Row],[Date]]),0)*IFERROR(--(ISNUMBER(SEARCH(Q$1,Attendance[Attendees]))),0)*IFERROR(--(Attendance[Session Type]="Training"),0))&gt;0,"Y","")</f>
        <v/>
      </c>
      <c r="R14" s="286" t="str" cm="1">
        <f t="array" ref="R14">IF(SUMPRODUCT(IFERROR(--(INT(Attendance[Start time])=Training_Attendance[[#This Row],[Date]]),0)*IFERROR(--(ISNUMBER(SEARCH(R$1,Attendance[Attendees]))),0)*IFERROR(--(Attendance[Session Type]="Training"),0))&gt;0,"Y","")</f>
        <v/>
      </c>
      <c r="S14" s="286" t="str" cm="1">
        <f t="array" ref="S14">IF(SUMPRODUCT(IFERROR(--(INT(Attendance[Start time])=Training_Attendance[[#This Row],[Date]]),0)*IFERROR(--(ISNUMBER(SEARCH(S$1,Attendance[Attendees]))),0)*IFERROR(--(Attendance[Session Type]="Training"),0))&gt;0,"Y","")</f>
        <v/>
      </c>
      <c r="T14" s="286" t="str" cm="1">
        <f t="array" ref="T14">IF(SUMPRODUCT(IFERROR(--(INT(Attendance[Start time])=Training_Attendance[[#This Row],[Date]]),0)*IFERROR(--(ISNUMBER(SEARCH(T$1,Attendance[Attendees]))),0)*IFERROR(--(Attendance[Session Type]="Training"),0))&gt;0,"Y","")</f>
        <v/>
      </c>
      <c r="U14" s="286" t="str" cm="1">
        <f t="array" ref="U14">IF(SUMPRODUCT(IFERROR(--(INT(Attendance[Start time])=Training_Attendance[[#This Row],[Date]]),0)*IFERROR(--(ISNUMBER(SEARCH(U$1,Attendance[Attendees]))),0)*IFERROR(--(Attendance[Session Type]="Training"),0))&gt;0,"Y","")</f>
        <v/>
      </c>
      <c r="V14" s="286" t="str" cm="1">
        <f t="array" ref="V14">IF(SUMPRODUCT(IFERROR(--(INT(Attendance[Start time])=Training_Attendance[[#This Row],[Date]]),0)*IFERROR(--(ISNUMBER(SEARCH(V$1,Attendance[Attendees]))),0)*IFERROR(--(Attendance[Session Type]="Training"),0))&gt;0,"Y","")</f>
        <v/>
      </c>
      <c r="W14" s="286" t="str" cm="1">
        <f t="array" ref="W14">IF(SUMPRODUCT(IFERROR(--(INT(Attendance[Start time])=Training_Attendance[[#This Row],[Date]]),0)*IFERROR(--(ISNUMBER(SEARCH(W$1,Attendance[Attendees]))),0)*IFERROR(--(Attendance[Session Type]="Training"),0))&gt;0,"Y","")</f>
        <v/>
      </c>
      <c r="X14" s="286" t="str" cm="1">
        <f t="array" ref="X14">IF(SUMPRODUCT(IFERROR(--(INT(Attendance[Start time])=Training_Attendance[[#This Row],[Date]]),0)*IFERROR(--(ISNUMBER(SEARCH(X$1,Attendance[Attendees]))),0)*IFERROR(--(Attendance[Session Type]="Training"),0))&gt;0,"Y","")</f>
        <v/>
      </c>
      <c r="Y14" s="286" t="str" cm="1">
        <f t="array" ref="Y14">IF(SUMPRODUCT(IFERROR(--(INT(Attendance[Start time])=Training_Attendance[[#This Row],[Date]]),0)*IFERROR(--(ISNUMBER(SEARCH(Y$1,Attendance[Attendees]))),0)*IFERROR(--(Attendance[Session Type]="Training"),0))&gt;0,"Y","")</f>
        <v/>
      </c>
      <c r="Z14" s="286" t="str" cm="1">
        <f t="array" ref="Z14">IF(SUMPRODUCT(IFERROR(--(INT(Attendance[Start time])=Training_Attendance[[#This Row],[Date]]),0)*IFERROR(--(ISNUMBER(SEARCH(Z$1,Attendance[Attendees]))),0)*IFERROR(--(Attendance[Session Type]="Training"),0))&gt;0,"Y","")</f>
        <v/>
      </c>
      <c r="AA14" s="286" t="str" cm="1">
        <f t="array" ref="AA14">IF(SUMPRODUCT(IFERROR(--(INT(Attendance[Start time])=Training_Attendance[[#This Row],[Date]]),0)*IFERROR(--(ISNUMBER(SEARCH(AA$1,Attendance[Attendees]))),0)*IFERROR(--(Attendance[Session Type]="Training"),0))&gt;0,"Y","")</f>
        <v/>
      </c>
      <c r="AB14" s="286" t="str" cm="1">
        <f t="array" ref="AB14">IF(SUMPRODUCT(IFERROR(--(INT(Attendance[Start time])=Training_Attendance[[#This Row],[Date]]),0)*IFERROR(--(ISNUMBER(SEARCH(AB$1,Attendance[Attendees]))),0)*IFERROR(--(Attendance[Session Type]="Training"),0))&gt;0,"Y","")</f>
        <v/>
      </c>
      <c r="AC14" s="286" t="str" cm="1">
        <f t="array" ref="AC14">IF(SUMPRODUCT(IFERROR(--(INT(Attendance[Start time])=Training_Attendance[[#This Row],[Date]]),0)*IFERROR(--(ISNUMBER(SEARCH(AC$1,Attendance[Attendees]))),0)*IFERROR(--(Attendance[Session Type]="Training"),0))&gt;0,"Y","")</f>
        <v/>
      </c>
      <c r="AD14" s="265">
        <f>COUNTIF(Training_Attendance[[#This Row],[Alf M]:[Ronnie D]],"Y")</f>
        <v>0</v>
      </c>
    </row>
    <row r="15" spans="1:31" s="266" customFormat="1" ht="16" customHeight="1" x14ac:dyDescent="0.35">
      <c r="A15" s="225">
        <v>46358</v>
      </c>
      <c r="B15" s="220">
        <f>Training_Attendance[[#This Row],[Date]]</f>
        <v>46358</v>
      </c>
      <c r="C15" s="166" t="s">
        <v>84</v>
      </c>
      <c r="D15" s="286" t="str" cm="1">
        <f t="array" ref="D15">IF(SUMPRODUCT(IFERROR(--(INT(Attendance[Start time])=Training_Attendance[[#This Row],[Date]]),0)*IFERROR(--(ISNUMBER(SEARCH(D$1,Attendance[Attendees]))),0)*IFERROR(--(Attendance[Session Type]="Training"),0))&gt;0,"Y","")</f>
        <v/>
      </c>
      <c r="E15" s="286" t="str" cm="1">
        <f t="array" ref="E15">IF(SUMPRODUCT(IFERROR(--(INT(Attendance[Start time])=Training_Attendance[[#This Row],[Date]]),0)*IFERROR(--(ISNUMBER(SEARCH(E$1,Attendance[Attendees]))),0)*IFERROR(--(Attendance[Session Type]="Training"),0))&gt;0,"Y","")</f>
        <v/>
      </c>
      <c r="F15" s="286" t="str" cm="1">
        <f t="array" ref="F15">IF(SUMPRODUCT(IFERROR(--(INT(Attendance[Start time])=Training_Attendance[[#This Row],[Date]]),0)*IFERROR(--(ISNUMBER(SEARCH(F$1,Attendance[Attendees]))),0)*IFERROR(--(Attendance[Session Type]="Training"),0))&gt;0,"Y","")</f>
        <v/>
      </c>
      <c r="G15" s="286" t="str" cm="1">
        <f t="array" ref="G15">IF(SUMPRODUCT(IFERROR(--(INT(Attendance[Start time])=Training_Attendance[[#This Row],[Date]]),0)*IFERROR(--(ISNUMBER(SEARCH(G$1,Attendance[Attendees]))),0)*IFERROR(--(Attendance[Session Type]="Training"),0))&gt;0,"Y","")</f>
        <v/>
      </c>
      <c r="H15" s="286" t="str" cm="1">
        <f t="array" ref="H15">IF(SUMPRODUCT(IFERROR(--(INT(Attendance[Start time])=Training_Attendance[[#This Row],[Date]]),0)*IFERROR(--(ISNUMBER(SEARCH(H$1,Attendance[Attendees]))),0)*IFERROR(--(Attendance[Session Type]="Training"),0))&gt;0,"Y","")</f>
        <v/>
      </c>
      <c r="I15" s="286" t="str" cm="1">
        <f t="array" ref="I15">IF(SUMPRODUCT(IFERROR(--(INT(Attendance[Start time])=Training_Attendance[[#This Row],[Date]]),0)*IFERROR(--(ISNUMBER(SEARCH(I$1,Attendance[Attendees]))),0)*IFERROR(--(Attendance[Session Type]="Training"),0))&gt;0,"Y","")</f>
        <v/>
      </c>
      <c r="J15" s="286" t="str" cm="1">
        <f t="array" ref="J15">IF(SUMPRODUCT(IFERROR(--(INT(Attendance[Start time])=Training_Attendance[[#This Row],[Date]]),0)*IFERROR(--(ISNUMBER(SEARCH(J$1,Attendance[Attendees]))),0)*IFERROR(--(Attendance[Session Type]="Training"),0))&gt;0,"Y","")</f>
        <v/>
      </c>
      <c r="K15" s="286" t="str" cm="1">
        <f t="array" ref="K15">IF(SUMPRODUCT(IFERROR(--(INT(Attendance[Start time])=Training_Attendance[[#This Row],[Date]]),0)*IFERROR(--(ISNUMBER(SEARCH(K$1,Attendance[Attendees]))),0)*IFERROR(--(Attendance[Session Type]="Training"),0))&gt;0,"Y","")</f>
        <v/>
      </c>
      <c r="L15" s="286" t="str" cm="1">
        <f t="array" ref="L15">IF(SUMPRODUCT(IFERROR(--(INT(Attendance[Start time])=Training_Attendance[[#This Row],[Date]]),0)*IFERROR(--(ISNUMBER(SEARCH(L$1,Attendance[Attendees]))),0)*IFERROR(--(Attendance[Session Type]="Training"),0))&gt;0,"Y","")</f>
        <v/>
      </c>
      <c r="M15" s="286" t="str" cm="1">
        <f t="array" ref="M15">IF(SUMPRODUCT(IFERROR(--(INT(Attendance[Start time])=Training_Attendance[[#This Row],[Date]]),0)*IFERROR(--(ISNUMBER(SEARCH(M$1,Attendance[Attendees]))),0)*IFERROR(--(Attendance[Session Type]="Training"),0))&gt;0,"Y","")</f>
        <v/>
      </c>
      <c r="N15" s="286" t="str" cm="1">
        <f t="array" ref="N15">IF(SUMPRODUCT(IFERROR(--(INT(Attendance[Start time])=Training_Attendance[[#This Row],[Date]]),0)*IFERROR(--(ISNUMBER(SEARCH(N$1,Attendance[Attendees]))),0)*IFERROR(--(Attendance[Session Type]="Training"),0))&gt;0,"Y","")</f>
        <v/>
      </c>
      <c r="O15" s="286" t="str" cm="1">
        <f t="array" ref="O15">IF(SUMPRODUCT(IFERROR(--(INT(Attendance[Start time])=Training_Attendance[[#This Row],[Date]]),0)*IFERROR(--(ISNUMBER(SEARCH(O$1,Attendance[Attendees]))),0)*IFERROR(--(Attendance[Session Type]="Training"),0))&gt;0,"Y","")</f>
        <v/>
      </c>
      <c r="P15" s="286" t="str" cm="1">
        <f t="array" ref="P15">IF(SUMPRODUCT(IFERROR(--(INT(Attendance[Start time])=Training_Attendance[[#This Row],[Date]]),0)*IFERROR(--(ISNUMBER(SEARCH(P$1,Attendance[Attendees]))),0)*IFERROR(--(Attendance[Session Type]="Training"),0))&gt;0,"Y","")</f>
        <v/>
      </c>
      <c r="Q15" s="286" t="str" cm="1">
        <f t="array" ref="Q15">IF(SUMPRODUCT(IFERROR(--(INT(Attendance[Start time])=Training_Attendance[[#This Row],[Date]]),0)*IFERROR(--(ISNUMBER(SEARCH(Q$1,Attendance[Attendees]))),0)*IFERROR(--(Attendance[Session Type]="Training"),0))&gt;0,"Y","")</f>
        <v/>
      </c>
      <c r="R15" s="286" t="str" cm="1">
        <f t="array" ref="R15">IF(SUMPRODUCT(IFERROR(--(INT(Attendance[Start time])=Training_Attendance[[#This Row],[Date]]),0)*IFERROR(--(ISNUMBER(SEARCH(R$1,Attendance[Attendees]))),0)*IFERROR(--(Attendance[Session Type]="Training"),0))&gt;0,"Y","")</f>
        <v/>
      </c>
      <c r="S15" s="286" t="str" cm="1">
        <f t="array" ref="S15">IF(SUMPRODUCT(IFERROR(--(INT(Attendance[Start time])=Training_Attendance[[#This Row],[Date]]),0)*IFERROR(--(ISNUMBER(SEARCH(S$1,Attendance[Attendees]))),0)*IFERROR(--(Attendance[Session Type]="Training"),0))&gt;0,"Y","")</f>
        <v/>
      </c>
      <c r="T15" s="286" t="str" cm="1">
        <f t="array" ref="T15">IF(SUMPRODUCT(IFERROR(--(INT(Attendance[Start time])=Training_Attendance[[#This Row],[Date]]),0)*IFERROR(--(ISNUMBER(SEARCH(T$1,Attendance[Attendees]))),0)*IFERROR(--(Attendance[Session Type]="Training"),0))&gt;0,"Y","")</f>
        <v/>
      </c>
      <c r="U15" s="286" t="str" cm="1">
        <f t="array" ref="U15">IF(SUMPRODUCT(IFERROR(--(INT(Attendance[Start time])=Training_Attendance[[#This Row],[Date]]),0)*IFERROR(--(ISNUMBER(SEARCH(U$1,Attendance[Attendees]))),0)*IFERROR(--(Attendance[Session Type]="Training"),0))&gt;0,"Y","")</f>
        <v/>
      </c>
      <c r="V15" s="286" t="str" cm="1">
        <f t="array" ref="V15">IF(SUMPRODUCT(IFERROR(--(INT(Attendance[Start time])=Training_Attendance[[#This Row],[Date]]),0)*IFERROR(--(ISNUMBER(SEARCH(V$1,Attendance[Attendees]))),0)*IFERROR(--(Attendance[Session Type]="Training"),0))&gt;0,"Y","")</f>
        <v/>
      </c>
      <c r="W15" s="286" t="str" cm="1">
        <f t="array" ref="W15">IF(SUMPRODUCT(IFERROR(--(INT(Attendance[Start time])=Training_Attendance[[#This Row],[Date]]),0)*IFERROR(--(ISNUMBER(SEARCH(W$1,Attendance[Attendees]))),0)*IFERROR(--(Attendance[Session Type]="Training"),0))&gt;0,"Y","")</f>
        <v/>
      </c>
      <c r="X15" s="286" t="str" cm="1">
        <f t="array" ref="X15">IF(SUMPRODUCT(IFERROR(--(INT(Attendance[Start time])=Training_Attendance[[#This Row],[Date]]),0)*IFERROR(--(ISNUMBER(SEARCH(X$1,Attendance[Attendees]))),0)*IFERROR(--(Attendance[Session Type]="Training"),0))&gt;0,"Y","")</f>
        <v/>
      </c>
      <c r="Y15" s="286" t="str" cm="1">
        <f t="array" ref="Y15">IF(SUMPRODUCT(IFERROR(--(INT(Attendance[Start time])=Training_Attendance[[#This Row],[Date]]),0)*IFERROR(--(ISNUMBER(SEARCH(Y$1,Attendance[Attendees]))),0)*IFERROR(--(Attendance[Session Type]="Training"),0))&gt;0,"Y","")</f>
        <v/>
      </c>
      <c r="Z15" s="286" t="str" cm="1">
        <f t="array" ref="Z15">IF(SUMPRODUCT(IFERROR(--(INT(Attendance[Start time])=Training_Attendance[[#This Row],[Date]]),0)*IFERROR(--(ISNUMBER(SEARCH(Z$1,Attendance[Attendees]))),0)*IFERROR(--(Attendance[Session Type]="Training"),0))&gt;0,"Y","")</f>
        <v/>
      </c>
      <c r="AA15" s="286" t="str" cm="1">
        <f t="array" ref="AA15">IF(SUMPRODUCT(IFERROR(--(INT(Attendance[Start time])=Training_Attendance[[#This Row],[Date]]),0)*IFERROR(--(ISNUMBER(SEARCH(AA$1,Attendance[Attendees]))),0)*IFERROR(--(Attendance[Session Type]="Training"),0))&gt;0,"Y","")</f>
        <v/>
      </c>
      <c r="AB15" s="286" t="str" cm="1">
        <f t="array" ref="AB15">IF(SUMPRODUCT(IFERROR(--(INT(Attendance[Start time])=Training_Attendance[[#This Row],[Date]]),0)*IFERROR(--(ISNUMBER(SEARCH(AB$1,Attendance[Attendees]))),0)*IFERROR(--(Attendance[Session Type]="Training"),0))&gt;0,"Y","")</f>
        <v/>
      </c>
      <c r="AC15" s="286" t="str" cm="1">
        <f t="array" ref="AC15">IF(SUMPRODUCT(IFERROR(--(INT(Attendance[Start time])=Training_Attendance[[#This Row],[Date]]),0)*IFERROR(--(ISNUMBER(SEARCH(AC$1,Attendance[Attendees]))),0)*IFERROR(--(Attendance[Session Type]="Training"),0))&gt;0,"Y","")</f>
        <v/>
      </c>
      <c r="AD15" s="265">
        <f>COUNTIF(Training_Attendance[[#This Row],[Alf M]:[Ronnie D]],"Y")</f>
        <v>0</v>
      </c>
    </row>
    <row r="16" spans="1:31" s="266" customFormat="1" ht="16" customHeight="1" x14ac:dyDescent="0.35">
      <c r="A16" s="225">
        <v>46365</v>
      </c>
      <c r="B16" s="220">
        <f>Training_Attendance[[#This Row],[Date]]</f>
        <v>46365</v>
      </c>
      <c r="C16" s="166" t="s">
        <v>84</v>
      </c>
      <c r="D16" s="286" t="str" cm="1">
        <f t="array" ref="D16">IF(SUMPRODUCT(IFERROR(--(INT(Attendance[Start time])=Training_Attendance[[#This Row],[Date]]),0)*IFERROR(--(ISNUMBER(SEARCH(D$1,Attendance[Attendees]))),0)*IFERROR(--(Attendance[Session Type]="Training"),0))&gt;0,"Y","")</f>
        <v/>
      </c>
      <c r="E16" s="286" t="str" cm="1">
        <f t="array" ref="E16">IF(SUMPRODUCT(IFERROR(--(INT(Attendance[Start time])=Training_Attendance[[#This Row],[Date]]),0)*IFERROR(--(ISNUMBER(SEARCH(E$1,Attendance[Attendees]))),0)*IFERROR(--(Attendance[Session Type]="Training"),0))&gt;0,"Y","")</f>
        <v/>
      </c>
      <c r="F16" s="286" t="str" cm="1">
        <f t="array" ref="F16">IF(SUMPRODUCT(IFERROR(--(INT(Attendance[Start time])=Training_Attendance[[#This Row],[Date]]),0)*IFERROR(--(ISNUMBER(SEARCH(F$1,Attendance[Attendees]))),0)*IFERROR(--(Attendance[Session Type]="Training"),0))&gt;0,"Y","")</f>
        <v/>
      </c>
      <c r="G16" s="286" t="str" cm="1">
        <f t="array" ref="G16">IF(SUMPRODUCT(IFERROR(--(INT(Attendance[Start time])=Training_Attendance[[#This Row],[Date]]),0)*IFERROR(--(ISNUMBER(SEARCH(G$1,Attendance[Attendees]))),0)*IFERROR(--(Attendance[Session Type]="Training"),0))&gt;0,"Y","")</f>
        <v/>
      </c>
      <c r="H16" s="286" t="str" cm="1">
        <f t="array" ref="H16">IF(SUMPRODUCT(IFERROR(--(INT(Attendance[Start time])=Training_Attendance[[#This Row],[Date]]),0)*IFERROR(--(ISNUMBER(SEARCH(H$1,Attendance[Attendees]))),0)*IFERROR(--(Attendance[Session Type]="Training"),0))&gt;0,"Y","")</f>
        <v/>
      </c>
      <c r="I16" s="286" t="str" cm="1">
        <f t="array" ref="I16">IF(SUMPRODUCT(IFERROR(--(INT(Attendance[Start time])=Training_Attendance[[#This Row],[Date]]),0)*IFERROR(--(ISNUMBER(SEARCH(I$1,Attendance[Attendees]))),0)*IFERROR(--(Attendance[Session Type]="Training"),0))&gt;0,"Y","")</f>
        <v/>
      </c>
      <c r="J16" s="286" t="str" cm="1">
        <f t="array" ref="J16">IF(SUMPRODUCT(IFERROR(--(INT(Attendance[Start time])=Training_Attendance[[#This Row],[Date]]),0)*IFERROR(--(ISNUMBER(SEARCH(J$1,Attendance[Attendees]))),0)*IFERROR(--(Attendance[Session Type]="Training"),0))&gt;0,"Y","")</f>
        <v/>
      </c>
      <c r="K16" s="286" t="str" cm="1">
        <f t="array" ref="K16">IF(SUMPRODUCT(IFERROR(--(INT(Attendance[Start time])=Training_Attendance[[#This Row],[Date]]),0)*IFERROR(--(ISNUMBER(SEARCH(K$1,Attendance[Attendees]))),0)*IFERROR(--(Attendance[Session Type]="Training"),0))&gt;0,"Y","")</f>
        <v/>
      </c>
      <c r="L16" s="286" t="str" cm="1">
        <f t="array" ref="L16">IF(SUMPRODUCT(IFERROR(--(INT(Attendance[Start time])=Training_Attendance[[#This Row],[Date]]),0)*IFERROR(--(ISNUMBER(SEARCH(L$1,Attendance[Attendees]))),0)*IFERROR(--(Attendance[Session Type]="Training"),0))&gt;0,"Y","")</f>
        <v/>
      </c>
      <c r="M16" s="286" t="str" cm="1">
        <f t="array" ref="M16">IF(SUMPRODUCT(IFERROR(--(INT(Attendance[Start time])=Training_Attendance[[#This Row],[Date]]),0)*IFERROR(--(ISNUMBER(SEARCH(M$1,Attendance[Attendees]))),0)*IFERROR(--(Attendance[Session Type]="Training"),0))&gt;0,"Y","")</f>
        <v/>
      </c>
      <c r="N16" s="286" t="str" cm="1">
        <f t="array" ref="N16">IF(SUMPRODUCT(IFERROR(--(INT(Attendance[Start time])=Training_Attendance[[#This Row],[Date]]),0)*IFERROR(--(ISNUMBER(SEARCH(N$1,Attendance[Attendees]))),0)*IFERROR(--(Attendance[Session Type]="Training"),0))&gt;0,"Y","")</f>
        <v/>
      </c>
      <c r="O16" s="286" t="str" cm="1">
        <f t="array" ref="O16">IF(SUMPRODUCT(IFERROR(--(INT(Attendance[Start time])=Training_Attendance[[#This Row],[Date]]),0)*IFERROR(--(ISNUMBER(SEARCH(O$1,Attendance[Attendees]))),0)*IFERROR(--(Attendance[Session Type]="Training"),0))&gt;0,"Y","")</f>
        <v/>
      </c>
      <c r="P16" s="286" t="str" cm="1">
        <f t="array" ref="P16">IF(SUMPRODUCT(IFERROR(--(INT(Attendance[Start time])=Training_Attendance[[#This Row],[Date]]),0)*IFERROR(--(ISNUMBER(SEARCH(P$1,Attendance[Attendees]))),0)*IFERROR(--(Attendance[Session Type]="Training"),0))&gt;0,"Y","")</f>
        <v/>
      </c>
      <c r="Q16" s="286" t="str" cm="1">
        <f t="array" ref="Q16">IF(SUMPRODUCT(IFERROR(--(INT(Attendance[Start time])=Training_Attendance[[#This Row],[Date]]),0)*IFERROR(--(ISNUMBER(SEARCH(Q$1,Attendance[Attendees]))),0)*IFERROR(--(Attendance[Session Type]="Training"),0))&gt;0,"Y","")</f>
        <v/>
      </c>
      <c r="R16" s="286" t="str" cm="1">
        <f t="array" ref="R16">IF(SUMPRODUCT(IFERROR(--(INT(Attendance[Start time])=Training_Attendance[[#This Row],[Date]]),0)*IFERROR(--(ISNUMBER(SEARCH(R$1,Attendance[Attendees]))),0)*IFERROR(--(Attendance[Session Type]="Training"),0))&gt;0,"Y","")</f>
        <v/>
      </c>
      <c r="S16" s="286" t="str" cm="1">
        <f t="array" ref="S16">IF(SUMPRODUCT(IFERROR(--(INT(Attendance[Start time])=Training_Attendance[[#This Row],[Date]]),0)*IFERROR(--(ISNUMBER(SEARCH(S$1,Attendance[Attendees]))),0)*IFERROR(--(Attendance[Session Type]="Training"),0))&gt;0,"Y","")</f>
        <v/>
      </c>
      <c r="T16" s="286" t="str" cm="1">
        <f t="array" ref="T16">IF(SUMPRODUCT(IFERROR(--(INT(Attendance[Start time])=Training_Attendance[[#This Row],[Date]]),0)*IFERROR(--(ISNUMBER(SEARCH(T$1,Attendance[Attendees]))),0)*IFERROR(--(Attendance[Session Type]="Training"),0))&gt;0,"Y","")</f>
        <v/>
      </c>
      <c r="U16" s="286" t="str" cm="1">
        <f t="array" ref="U16">IF(SUMPRODUCT(IFERROR(--(INT(Attendance[Start time])=Training_Attendance[[#This Row],[Date]]),0)*IFERROR(--(ISNUMBER(SEARCH(U$1,Attendance[Attendees]))),0)*IFERROR(--(Attendance[Session Type]="Training"),0))&gt;0,"Y","")</f>
        <v/>
      </c>
      <c r="V16" s="286" t="str" cm="1">
        <f t="array" ref="V16">IF(SUMPRODUCT(IFERROR(--(INT(Attendance[Start time])=Training_Attendance[[#This Row],[Date]]),0)*IFERROR(--(ISNUMBER(SEARCH(V$1,Attendance[Attendees]))),0)*IFERROR(--(Attendance[Session Type]="Training"),0))&gt;0,"Y","")</f>
        <v/>
      </c>
      <c r="W16" s="286" t="str" cm="1">
        <f t="array" ref="W16">IF(SUMPRODUCT(IFERROR(--(INT(Attendance[Start time])=Training_Attendance[[#This Row],[Date]]),0)*IFERROR(--(ISNUMBER(SEARCH(W$1,Attendance[Attendees]))),0)*IFERROR(--(Attendance[Session Type]="Training"),0))&gt;0,"Y","")</f>
        <v/>
      </c>
      <c r="X16" s="286" t="str" cm="1">
        <f t="array" ref="X16">IF(SUMPRODUCT(IFERROR(--(INT(Attendance[Start time])=Training_Attendance[[#This Row],[Date]]),0)*IFERROR(--(ISNUMBER(SEARCH(X$1,Attendance[Attendees]))),0)*IFERROR(--(Attendance[Session Type]="Training"),0))&gt;0,"Y","")</f>
        <v/>
      </c>
      <c r="Y16" s="286" t="str" cm="1">
        <f t="array" ref="Y16">IF(SUMPRODUCT(IFERROR(--(INT(Attendance[Start time])=Training_Attendance[[#This Row],[Date]]),0)*IFERROR(--(ISNUMBER(SEARCH(Y$1,Attendance[Attendees]))),0)*IFERROR(--(Attendance[Session Type]="Training"),0))&gt;0,"Y","")</f>
        <v/>
      </c>
      <c r="Z16" s="286" t="str" cm="1">
        <f t="array" ref="Z16">IF(SUMPRODUCT(IFERROR(--(INT(Attendance[Start time])=Training_Attendance[[#This Row],[Date]]),0)*IFERROR(--(ISNUMBER(SEARCH(Z$1,Attendance[Attendees]))),0)*IFERROR(--(Attendance[Session Type]="Training"),0))&gt;0,"Y","")</f>
        <v/>
      </c>
      <c r="AA16" s="286" t="str" cm="1">
        <f t="array" ref="AA16">IF(SUMPRODUCT(IFERROR(--(INT(Attendance[Start time])=Training_Attendance[[#This Row],[Date]]),0)*IFERROR(--(ISNUMBER(SEARCH(AA$1,Attendance[Attendees]))),0)*IFERROR(--(Attendance[Session Type]="Training"),0))&gt;0,"Y","")</f>
        <v/>
      </c>
      <c r="AB16" s="286" t="str" cm="1">
        <f t="array" ref="AB16">IF(SUMPRODUCT(IFERROR(--(INT(Attendance[Start time])=Training_Attendance[[#This Row],[Date]]),0)*IFERROR(--(ISNUMBER(SEARCH(AB$1,Attendance[Attendees]))),0)*IFERROR(--(Attendance[Session Type]="Training"),0))&gt;0,"Y","")</f>
        <v/>
      </c>
      <c r="AC16" s="286" t="str" cm="1">
        <f t="array" ref="AC16">IF(SUMPRODUCT(IFERROR(--(INT(Attendance[Start time])=Training_Attendance[[#This Row],[Date]]),0)*IFERROR(--(ISNUMBER(SEARCH(AC$1,Attendance[Attendees]))),0)*IFERROR(--(Attendance[Session Type]="Training"),0))&gt;0,"Y","")</f>
        <v/>
      </c>
      <c r="AD16" s="265">
        <f>COUNTIF(Training_Attendance[[#This Row],[Alf M]:[Ronnie D]],"Y")</f>
        <v>0</v>
      </c>
    </row>
    <row r="17" spans="1:31" s="266" customFormat="1" ht="16" customHeight="1" x14ac:dyDescent="0.35">
      <c r="A17" s="225">
        <v>46372</v>
      </c>
      <c r="B17" s="220">
        <f>Training_Attendance[[#This Row],[Date]]</f>
        <v>46372</v>
      </c>
      <c r="C17" s="166" t="s">
        <v>84</v>
      </c>
      <c r="D17" s="286" t="str" cm="1">
        <f t="array" ref="D17">IF(SUMPRODUCT(IFERROR(--(INT(Attendance[Start time])=Training_Attendance[[#This Row],[Date]]),0)*IFERROR(--(ISNUMBER(SEARCH(D$1,Attendance[Attendees]))),0)*IFERROR(--(Attendance[Session Type]="Training"),0))&gt;0,"Y","")</f>
        <v/>
      </c>
      <c r="E17" s="286" t="str" cm="1">
        <f t="array" ref="E17">IF(SUMPRODUCT(IFERROR(--(INT(Attendance[Start time])=Training_Attendance[[#This Row],[Date]]),0)*IFERROR(--(ISNUMBER(SEARCH(E$1,Attendance[Attendees]))),0)*IFERROR(--(Attendance[Session Type]="Training"),0))&gt;0,"Y","")</f>
        <v/>
      </c>
      <c r="F17" s="286" t="str" cm="1">
        <f t="array" ref="F17">IF(SUMPRODUCT(IFERROR(--(INT(Attendance[Start time])=Training_Attendance[[#This Row],[Date]]),0)*IFERROR(--(ISNUMBER(SEARCH(F$1,Attendance[Attendees]))),0)*IFERROR(--(Attendance[Session Type]="Training"),0))&gt;0,"Y","")</f>
        <v/>
      </c>
      <c r="G17" s="286" t="str" cm="1">
        <f t="array" ref="G17">IF(SUMPRODUCT(IFERROR(--(INT(Attendance[Start time])=Training_Attendance[[#This Row],[Date]]),0)*IFERROR(--(ISNUMBER(SEARCH(G$1,Attendance[Attendees]))),0)*IFERROR(--(Attendance[Session Type]="Training"),0))&gt;0,"Y","")</f>
        <v/>
      </c>
      <c r="H17" s="286" t="str" cm="1">
        <f t="array" ref="H17">IF(SUMPRODUCT(IFERROR(--(INT(Attendance[Start time])=Training_Attendance[[#This Row],[Date]]),0)*IFERROR(--(ISNUMBER(SEARCH(H$1,Attendance[Attendees]))),0)*IFERROR(--(Attendance[Session Type]="Training"),0))&gt;0,"Y","")</f>
        <v/>
      </c>
      <c r="I17" s="286" t="str" cm="1">
        <f t="array" ref="I17">IF(SUMPRODUCT(IFERROR(--(INT(Attendance[Start time])=Training_Attendance[[#This Row],[Date]]),0)*IFERROR(--(ISNUMBER(SEARCH(I$1,Attendance[Attendees]))),0)*IFERROR(--(Attendance[Session Type]="Training"),0))&gt;0,"Y","")</f>
        <v/>
      </c>
      <c r="J17" s="286" t="str" cm="1">
        <f t="array" ref="J17">IF(SUMPRODUCT(IFERROR(--(INT(Attendance[Start time])=Training_Attendance[[#This Row],[Date]]),0)*IFERROR(--(ISNUMBER(SEARCH(J$1,Attendance[Attendees]))),0)*IFERROR(--(Attendance[Session Type]="Training"),0))&gt;0,"Y","")</f>
        <v/>
      </c>
      <c r="K17" s="286" t="str" cm="1">
        <f t="array" ref="K17">IF(SUMPRODUCT(IFERROR(--(INT(Attendance[Start time])=Training_Attendance[[#This Row],[Date]]),0)*IFERROR(--(ISNUMBER(SEARCH(K$1,Attendance[Attendees]))),0)*IFERROR(--(Attendance[Session Type]="Training"),0))&gt;0,"Y","")</f>
        <v/>
      </c>
      <c r="L17" s="286" t="str" cm="1">
        <f t="array" ref="L17">IF(SUMPRODUCT(IFERROR(--(INT(Attendance[Start time])=Training_Attendance[[#This Row],[Date]]),0)*IFERROR(--(ISNUMBER(SEARCH(L$1,Attendance[Attendees]))),0)*IFERROR(--(Attendance[Session Type]="Training"),0))&gt;0,"Y","")</f>
        <v/>
      </c>
      <c r="M17" s="286" t="str" cm="1">
        <f t="array" ref="M17">IF(SUMPRODUCT(IFERROR(--(INT(Attendance[Start time])=Training_Attendance[[#This Row],[Date]]),0)*IFERROR(--(ISNUMBER(SEARCH(M$1,Attendance[Attendees]))),0)*IFERROR(--(Attendance[Session Type]="Training"),0))&gt;0,"Y","")</f>
        <v/>
      </c>
      <c r="N17" s="286" t="str" cm="1">
        <f t="array" ref="N17">IF(SUMPRODUCT(IFERROR(--(INT(Attendance[Start time])=Training_Attendance[[#This Row],[Date]]),0)*IFERROR(--(ISNUMBER(SEARCH(N$1,Attendance[Attendees]))),0)*IFERROR(--(Attendance[Session Type]="Training"),0))&gt;0,"Y","")</f>
        <v/>
      </c>
      <c r="O17" s="286" t="str" cm="1">
        <f t="array" ref="O17">IF(SUMPRODUCT(IFERROR(--(INT(Attendance[Start time])=Training_Attendance[[#This Row],[Date]]),0)*IFERROR(--(ISNUMBER(SEARCH(O$1,Attendance[Attendees]))),0)*IFERROR(--(Attendance[Session Type]="Training"),0))&gt;0,"Y","")</f>
        <v/>
      </c>
      <c r="P17" s="286" t="str" cm="1">
        <f t="array" ref="P17">IF(SUMPRODUCT(IFERROR(--(INT(Attendance[Start time])=Training_Attendance[[#This Row],[Date]]),0)*IFERROR(--(ISNUMBER(SEARCH(P$1,Attendance[Attendees]))),0)*IFERROR(--(Attendance[Session Type]="Training"),0))&gt;0,"Y","")</f>
        <v/>
      </c>
      <c r="Q17" s="286" t="str" cm="1">
        <f t="array" ref="Q17">IF(SUMPRODUCT(IFERROR(--(INT(Attendance[Start time])=Training_Attendance[[#This Row],[Date]]),0)*IFERROR(--(ISNUMBER(SEARCH(Q$1,Attendance[Attendees]))),0)*IFERROR(--(Attendance[Session Type]="Training"),0))&gt;0,"Y","")</f>
        <v/>
      </c>
      <c r="R17" s="286" t="str" cm="1">
        <f t="array" ref="R17">IF(SUMPRODUCT(IFERROR(--(INT(Attendance[Start time])=Training_Attendance[[#This Row],[Date]]),0)*IFERROR(--(ISNUMBER(SEARCH(R$1,Attendance[Attendees]))),0)*IFERROR(--(Attendance[Session Type]="Training"),0))&gt;0,"Y","")</f>
        <v/>
      </c>
      <c r="S17" s="286" t="str" cm="1">
        <f t="array" ref="S17">IF(SUMPRODUCT(IFERROR(--(INT(Attendance[Start time])=Training_Attendance[[#This Row],[Date]]),0)*IFERROR(--(ISNUMBER(SEARCH(S$1,Attendance[Attendees]))),0)*IFERROR(--(Attendance[Session Type]="Training"),0))&gt;0,"Y","")</f>
        <v/>
      </c>
      <c r="T17" s="286" t="str" cm="1">
        <f t="array" ref="T17">IF(SUMPRODUCT(IFERROR(--(INT(Attendance[Start time])=Training_Attendance[[#This Row],[Date]]),0)*IFERROR(--(ISNUMBER(SEARCH(T$1,Attendance[Attendees]))),0)*IFERROR(--(Attendance[Session Type]="Training"),0))&gt;0,"Y","")</f>
        <v/>
      </c>
      <c r="U17" s="286" t="str" cm="1">
        <f t="array" ref="U17">IF(SUMPRODUCT(IFERROR(--(INT(Attendance[Start time])=Training_Attendance[[#This Row],[Date]]),0)*IFERROR(--(ISNUMBER(SEARCH(U$1,Attendance[Attendees]))),0)*IFERROR(--(Attendance[Session Type]="Training"),0))&gt;0,"Y","")</f>
        <v/>
      </c>
      <c r="V17" s="286" t="str" cm="1">
        <f t="array" ref="V17">IF(SUMPRODUCT(IFERROR(--(INT(Attendance[Start time])=Training_Attendance[[#This Row],[Date]]),0)*IFERROR(--(ISNUMBER(SEARCH(V$1,Attendance[Attendees]))),0)*IFERROR(--(Attendance[Session Type]="Training"),0))&gt;0,"Y","")</f>
        <v/>
      </c>
      <c r="W17" s="286" t="str" cm="1">
        <f t="array" ref="W17">IF(SUMPRODUCT(IFERROR(--(INT(Attendance[Start time])=Training_Attendance[[#This Row],[Date]]),0)*IFERROR(--(ISNUMBER(SEARCH(W$1,Attendance[Attendees]))),0)*IFERROR(--(Attendance[Session Type]="Training"),0))&gt;0,"Y","")</f>
        <v/>
      </c>
      <c r="X17" s="286" t="str" cm="1">
        <f t="array" ref="X17">IF(SUMPRODUCT(IFERROR(--(INT(Attendance[Start time])=Training_Attendance[[#This Row],[Date]]),0)*IFERROR(--(ISNUMBER(SEARCH(X$1,Attendance[Attendees]))),0)*IFERROR(--(Attendance[Session Type]="Training"),0))&gt;0,"Y","")</f>
        <v/>
      </c>
      <c r="Y17" s="286" t="str" cm="1">
        <f t="array" ref="Y17">IF(SUMPRODUCT(IFERROR(--(INT(Attendance[Start time])=Training_Attendance[[#This Row],[Date]]),0)*IFERROR(--(ISNUMBER(SEARCH(Y$1,Attendance[Attendees]))),0)*IFERROR(--(Attendance[Session Type]="Training"),0))&gt;0,"Y","")</f>
        <v/>
      </c>
      <c r="Z17" s="286" t="str" cm="1">
        <f t="array" ref="Z17">IF(SUMPRODUCT(IFERROR(--(INT(Attendance[Start time])=Training_Attendance[[#This Row],[Date]]),0)*IFERROR(--(ISNUMBER(SEARCH(Z$1,Attendance[Attendees]))),0)*IFERROR(--(Attendance[Session Type]="Training"),0))&gt;0,"Y","")</f>
        <v/>
      </c>
      <c r="AA17" s="286" t="str" cm="1">
        <f t="array" ref="AA17">IF(SUMPRODUCT(IFERROR(--(INT(Attendance[Start time])=Training_Attendance[[#This Row],[Date]]),0)*IFERROR(--(ISNUMBER(SEARCH(AA$1,Attendance[Attendees]))),0)*IFERROR(--(Attendance[Session Type]="Training"),0))&gt;0,"Y","")</f>
        <v/>
      </c>
      <c r="AB17" s="286" t="str" cm="1">
        <f t="array" ref="AB17">IF(SUMPRODUCT(IFERROR(--(INT(Attendance[Start time])=Training_Attendance[[#This Row],[Date]]),0)*IFERROR(--(ISNUMBER(SEARCH(AB$1,Attendance[Attendees]))),0)*IFERROR(--(Attendance[Session Type]="Training"),0))&gt;0,"Y","")</f>
        <v/>
      </c>
      <c r="AC17" s="286" t="str" cm="1">
        <f t="array" ref="AC17">IF(SUMPRODUCT(IFERROR(--(INT(Attendance[Start time])=Training_Attendance[[#This Row],[Date]]),0)*IFERROR(--(ISNUMBER(SEARCH(AC$1,Attendance[Attendees]))),0)*IFERROR(--(Attendance[Session Type]="Training"),0))&gt;0,"Y","")</f>
        <v/>
      </c>
      <c r="AD17" s="265">
        <f>COUNTIF(Training_Attendance[[#This Row],[Alf M]:[Ronnie D]],"Y")</f>
        <v>0</v>
      </c>
    </row>
    <row r="18" spans="1:31" s="266" customFormat="1" ht="16" customHeight="1" x14ac:dyDescent="0.35">
      <c r="A18" s="225">
        <v>46379</v>
      </c>
      <c r="B18" s="220">
        <f>Training_Attendance[[#This Row],[Date]]</f>
        <v>46379</v>
      </c>
      <c r="C18" s="166" t="s">
        <v>84</v>
      </c>
      <c r="D18" s="286" t="str" cm="1">
        <f t="array" ref="D18">IF(SUMPRODUCT(IFERROR(--(INT(Attendance[Start time])=Training_Attendance[[#This Row],[Date]]),0)*IFERROR(--(ISNUMBER(SEARCH(D$1,Attendance[Attendees]))),0)*IFERROR(--(Attendance[Session Type]="Training"),0))&gt;0,"Y","")</f>
        <v/>
      </c>
      <c r="E18" s="286" t="str" cm="1">
        <f t="array" ref="E18">IF(SUMPRODUCT(IFERROR(--(INT(Attendance[Start time])=Training_Attendance[[#This Row],[Date]]),0)*IFERROR(--(ISNUMBER(SEARCH(E$1,Attendance[Attendees]))),0)*IFERROR(--(Attendance[Session Type]="Training"),0))&gt;0,"Y","")</f>
        <v/>
      </c>
      <c r="F18" s="286" t="str" cm="1">
        <f t="array" ref="F18">IF(SUMPRODUCT(IFERROR(--(INT(Attendance[Start time])=Training_Attendance[[#This Row],[Date]]),0)*IFERROR(--(ISNUMBER(SEARCH(F$1,Attendance[Attendees]))),0)*IFERROR(--(Attendance[Session Type]="Training"),0))&gt;0,"Y","")</f>
        <v/>
      </c>
      <c r="G18" s="286" t="str" cm="1">
        <f t="array" ref="G18">IF(SUMPRODUCT(IFERROR(--(INT(Attendance[Start time])=Training_Attendance[[#This Row],[Date]]),0)*IFERROR(--(ISNUMBER(SEARCH(G$1,Attendance[Attendees]))),0)*IFERROR(--(Attendance[Session Type]="Training"),0))&gt;0,"Y","")</f>
        <v/>
      </c>
      <c r="H18" s="286" t="str" cm="1">
        <f t="array" ref="H18">IF(SUMPRODUCT(IFERROR(--(INT(Attendance[Start time])=Training_Attendance[[#This Row],[Date]]),0)*IFERROR(--(ISNUMBER(SEARCH(H$1,Attendance[Attendees]))),0)*IFERROR(--(Attendance[Session Type]="Training"),0))&gt;0,"Y","")</f>
        <v/>
      </c>
      <c r="I18" s="286" t="str" cm="1">
        <f t="array" ref="I18">IF(SUMPRODUCT(IFERROR(--(INT(Attendance[Start time])=Training_Attendance[[#This Row],[Date]]),0)*IFERROR(--(ISNUMBER(SEARCH(I$1,Attendance[Attendees]))),0)*IFERROR(--(Attendance[Session Type]="Training"),0))&gt;0,"Y","")</f>
        <v/>
      </c>
      <c r="J18" s="286" t="str" cm="1">
        <f t="array" ref="J18">IF(SUMPRODUCT(IFERROR(--(INT(Attendance[Start time])=Training_Attendance[[#This Row],[Date]]),0)*IFERROR(--(ISNUMBER(SEARCH(J$1,Attendance[Attendees]))),0)*IFERROR(--(Attendance[Session Type]="Training"),0))&gt;0,"Y","")</f>
        <v/>
      </c>
      <c r="K18" s="286" t="str" cm="1">
        <f t="array" ref="K18">IF(SUMPRODUCT(IFERROR(--(INT(Attendance[Start time])=Training_Attendance[[#This Row],[Date]]),0)*IFERROR(--(ISNUMBER(SEARCH(K$1,Attendance[Attendees]))),0)*IFERROR(--(Attendance[Session Type]="Training"),0))&gt;0,"Y","")</f>
        <v/>
      </c>
      <c r="L18" s="286" t="str" cm="1">
        <f t="array" ref="L18">IF(SUMPRODUCT(IFERROR(--(INT(Attendance[Start time])=Training_Attendance[[#This Row],[Date]]),0)*IFERROR(--(ISNUMBER(SEARCH(L$1,Attendance[Attendees]))),0)*IFERROR(--(Attendance[Session Type]="Training"),0))&gt;0,"Y","")</f>
        <v/>
      </c>
      <c r="M18" s="286" t="str" cm="1">
        <f t="array" ref="M18">IF(SUMPRODUCT(IFERROR(--(INT(Attendance[Start time])=Training_Attendance[[#This Row],[Date]]),0)*IFERROR(--(ISNUMBER(SEARCH(M$1,Attendance[Attendees]))),0)*IFERROR(--(Attendance[Session Type]="Training"),0))&gt;0,"Y","")</f>
        <v/>
      </c>
      <c r="N18" s="286" t="str" cm="1">
        <f t="array" ref="N18">IF(SUMPRODUCT(IFERROR(--(INT(Attendance[Start time])=Training_Attendance[[#This Row],[Date]]),0)*IFERROR(--(ISNUMBER(SEARCH(N$1,Attendance[Attendees]))),0)*IFERROR(--(Attendance[Session Type]="Training"),0))&gt;0,"Y","")</f>
        <v/>
      </c>
      <c r="O18" s="286" t="str" cm="1">
        <f t="array" ref="O18">IF(SUMPRODUCT(IFERROR(--(INT(Attendance[Start time])=Training_Attendance[[#This Row],[Date]]),0)*IFERROR(--(ISNUMBER(SEARCH(O$1,Attendance[Attendees]))),0)*IFERROR(--(Attendance[Session Type]="Training"),0))&gt;0,"Y","")</f>
        <v/>
      </c>
      <c r="P18" s="286" t="str" cm="1">
        <f t="array" ref="P18">IF(SUMPRODUCT(IFERROR(--(INT(Attendance[Start time])=Training_Attendance[[#This Row],[Date]]),0)*IFERROR(--(ISNUMBER(SEARCH(P$1,Attendance[Attendees]))),0)*IFERROR(--(Attendance[Session Type]="Training"),0))&gt;0,"Y","")</f>
        <v/>
      </c>
      <c r="Q18" s="286" t="str" cm="1">
        <f t="array" ref="Q18">IF(SUMPRODUCT(IFERROR(--(INT(Attendance[Start time])=Training_Attendance[[#This Row],[Date]]),0)*IFERROR(--(ISNUMBER(SEARCH(Q$1,Attendance[Attendees]))),0)*IFERROR(--(Attendance[Session Type]="Training"),0))&gt;0,"Y","")</f>
        <v/>
      </c>
      <c r="R18" s="286" t="str" cm="1">
        <f t="array" ref="R18">IF(SUMPRODUCT(IFERROR(--(INT(Attendance[Start time])=Training_Attendance[[#This Row],[Date]]),0)*IFERROR(--(ISNUMBER(SEARCH(R$1,Attendance[Attendees]))),0)*IFERROR(--(Attendance[Session Type]="Training"),0))&gt;0,"Y","")</f>
        <v/>
      </c>
      <c r="S18" s="286" t="str" cm="1">
        <f t="array" ref="S18">IF(SUMPRODUCT(IFERROR(--(INT(Attendance[Start time])=Training_Attendance[[#This Row],[Date]]),0)*IFERROR(--(ISNUMBER(SEARCH(S$1,Attendance[Attendees]))),0)*IFERROR(--(Attendance[Session Type]="Training"),0))&gt;0,"Y","")</f>
        <v/>
      </c>
      <c r="T18" s="286" t="str" cm="1">
        <f t="array" ref="T18">IF(SUMPRODUCT(IFERROR(--(INT(Attendance[Start time])=Training_Attendance[[#This Row],[Date]]),0)*IFERROR(--(ISNUMBER(SEARCH(T$1,Attendance[Attendees]))),0)*IFERROR(--(Attendance[Session Type]="Training"),0))&gt;0,"Y","")</f>
        <v/>
      </c>
      <c r="U18" s="286" t="str" cm="1">
        <f t="array" ref="U18">IF(SUMPRODUCT(IFERROR(--(INT(Attendance[Start time])=Training_Attendance[[#This Row],[Date]]),0)*IFERROR(--(ISNUMBER(SEARCH(U$1,Attendance[Attendees]))),0)*IFERROR(--(Attendance[Session Type]="Training"),0))&gt;0,"Y","")</f>
        <v/>
      </c>
      <c r="V18" s="286" t="str" cm="1">
        <f t="array" ref="V18">IF(SUMPRODUCT(IFERROR(--(INT(Attendance[Start time])=Training_Attendance[[#This Row],[Date]]),0)*IFERROR(--(ISNUMBER(SEARCH(V$1,Attendance[Attendees]))),0)*IFERROR(--(Attendance[Session Type]="Training"),0))&gt;0,"Y","")</f>
        <v/>
      </c>
      <c r="W18" s="286" t="str" cm="1">
        <f t="array" ref="W18">IF(SUMPRODUCT(IFERROR(--(INT(Attendance[Start time])=Training_Attendance[[#This Row],[Date]]),0)*IFERROR(--(ISNUMBER(SEARCH(W$1,Attendance[Attendees]))),0)*IFERROR(--(Attendance[Session Type]="Training"),0))&gt;0,"Y","")</f>
        <v/>
      </c>
      <c r="X18" s="286" t="str" cm="1">
        <f t="array" ref="X18">IF(SUMPRODUCT(IFERROR(--(INT(Attendance[Start time])=Training_Attendance[[#This Row],[Date]]),0)*IFERROR(--(ISNUMBER(SEARCH(X$1,Attendance[Attendees]))),0)*IFERROR(--(Attendance[Session Type]="Training"),0))&gt;0,"Y","")</f>
        <v/>
      </c>
      <c r="Y18" s="286" t="str" cm="1">
        <f t="array" ref="Y18">IF(SUMPRODUCT(IFERROR(--(INT(Attendance[Start time])=Training_Attendance[[#This Row],[Date]]),0)*IFERROR(--(ISNUMBER(SEARCH(Y$1,Attendance[Attendees]))),0)*IFERROR(--(Attendance[Session Type]="Training"),0))&gt;0,"Y","")</f>
        <v/>
      </c>
      <c r="Z18" s="286" t="str" cm="1">
        <f t="array" ref="Z18">IF(SUMPRODUCT(IFERROR(--(INT(Attendance[Start time])=Training_Attendance[[#This Row],[Date]]),0)*IFERROR(--(ISNUMBER(SEARCH(Z$1,Attendance[Attendees]))),0)*IFERROR(--(Attendance[Session Type]="Training"),0))&gt;0,"Y","")</f>
        <v/>
      </c>
      <c r="AA18" s="286" t="str" cm="1">
        <f t="array" ref="AA18">IF(SUMPRODUCT(IFERROR(--(INT(Attendance[Start time])=Training_Attendance[[#This Row],[Date]]),0)*IFERROR(--(ISNUMBER(SEARCH(AA$1,Attendance[Attendees]))),0)*IFERROR(--(Attendance[Session Type]="Training"),0))&gt;0,"Y","")</f>
        <v/>
      </c>
      <c r="AB18" s="286" t="str" cm="1">
        <f t="array" ref="AB18">IF(SUMPRODUCT(IFERROR(--(INT(Attendance[Start time])=Training_Attendance[[#This Row],[Date]]),0)*IFERROR(--(ISNUMBER(SEARCH(AB$1,Attendance[Attendees]))),0)*IFERROR(--(Attendance[Session Type]="Training"),0))&gt;0,"Y","")</f>
        <v/>
      </c>
      <c r="AC18" s="286" t="str" cm="1">
        <f t="array" ref="AC18">IF(SUMPRODUCT(IFERROR(--(INT(Attendance[Start time])=Training_Attendance[[#This Row],[Date]]),0)*IFERROR(--(ISNUMBER(SEARCH(AC$1,Attendance[Attendees]))),0)*IFERROR(--(Attendance[Session Type]="Training"),0))&gt;0,"Y","")</f>
        <v/>
      </c>
      <c r="AD18" s="265">
        <f>COUNTIF(Training_Attendance[[#This Row],[Alf M]:[Ronnie D]],"Y")</f>
        <v>0</v>
      </c>
    </row>
    <row r="19" spans="1:31" s="266" customFormat="1" ht="16" customHeight="1" x14ac:dyDescent="0.35">
      <c r="A19" s="225">
        <v>46386</v>
      </c>
      <c r="B19" s="220">
        <f>Training_Attendance[[#This Row],[Date]]</f>
        <v>46386</v>
      </c>
      <c r="C19" s="166" t="s">
        <v>84</v>
      </c>
      <c r="D19" s="286" t="str" cm="1">
        <f t="array" ref="D19">IF(SUMPRODUCT(IFERROR(--(INT(Attendance[Start time])=Training_Attendance[[#This Row],[Date]]),0)*IFERROR(--(ISNUMBER(SEARCH(D$1,Attendance[Attendees]))),0)*IFERROR(--(Attendance[Session Type]="Training"),0))&gt;0,"Y","")</f>
        <v/>
      </c>
      <c r="E19" s="286" t="str" cm="1">
        <f t="array" ref="E19">IF(SUMPRODUCT(IFERROR(--(INT(Attendance[Start time])=Training_Attendance[[#This Row],[Date]]),0)*IFERROR(--(ISNUMBER(SEARCH(E$1,Attendance[Attendees]))),0)*IFERROR(--(Attendance[Session Type]="Training"),0))&gt;0,"Y","")</f>
        <v/>
      </c>
      <c r="F19" s="286" t="str" cm="1">
        <f t="array" ref="F19">IF(SUMPRODUCT(IFERROR(--(INT(Attendance[Start time])=Training_Attendance[[#This Row],[Date]]),0)*IFERROR(--(ISNUMBER(SEARCH(F$1,Attendance[Attendees]))),0)*IFERROR(--(Attendance[Session Type]="Training"),0))&gt;0,"Y","")</f>
        <v/>
      </c>
      <c r="G19" s="286" t="str" cm="1">
        <f t="array" ref="G19">IF(SUMPRODUCT(IFERROR(--(INT(Attendance[Start time])=Training_Attendance[[#This Row],[Date]]),0)*IFERROR(--(ISNUMBER(SEARCH(G$1,Attendance[Attendees]))),0)*IFERROR(--(Attendance[Session Type]="Training"),0))&gt;0,"Y","")</f>
        <v/>
      </c>
      <c r="H19" s="286" t="str" cm="1">
        <f t="array" ref="H19">IF(SUMPRODUCT(IFERROR(--(INT(Attendance[Start time])=Training_Attendance[[#This Row],[Date]]),0)*IFERROR(--(ISNUMBER(SEARCH(H$1,Attendance[Attendees]))),0)*IFERROR(--(Attendance[Session Type]="Training"),0))&gt;0,"Y","")</f>
        <v/>
      </c>
      <c r="I19" s="286" t="str" cm="1">
        <f t="array" ref="I19">IF(SUMPRODUCT(IFERROR(--(INT(Attendance[Start time])=Training_Attendance[[#This Row],[Date]]),0)*IFERROR(--(ISNUMBER(SEARCH(I$1,Attendance[Attendees]))),0)*IFERROR(--(Attendance[Session Type]="Training"),0))&gt;0,"Y","")</f>
        <v/>
      </c>
      <c r="J19" s="286" t="str" cm="1">
        <f t="array" ref="J19">IF(SUMPRODUCT(IFERROR(--(INT(Attendance[Start time])=Training_Attendance[[#This Row],[Date]]),0)*IFERROR(--(ISNUMBER(SEARCH(J$1,Attendance[Attendees]))),0)*IFERROR(--(Attendance[Session Type]="Training"),0))&gt;0,"Y","")</f>
        <v/>
      </c>
      <c r="K19" s="286" t="str" cm="1">
        <f t="array" ref="K19">IF(SUMPRODUCT(IFERROR(--(INT(Attendance[Start time])=Training_Attendance[[#This Row],[Date]]),0)*IFERROR(--(ISNUMBER(SEARCH(K$1,Attendance[Attendees]))),0)*IFERROR(--(Attendance[Session Type]="Training"),0))&gt;0,"Y","")</f>
        <v/>
      </c>
      <c r="L19" s="286" t="str" cm="1">
        <f t="array" ref="L19">IF(SUMPRODUCT(IFERROR(--(INT(Attendance[Start time])=Training_Attendance[[#This Row],[Date]]),0)*IFERROR(--(ISNUMBER(SEARCH(L$1,Attendance[Attendees]))),0)*IFERROR(--(Attendance[Session Type]="Training"),0))&gt;0,"Y","")</f>
        <v/>
      </c>
      <c r="M19" s="286" t="str" cm="1">
        <f t="array" ref="M19">IF(SUMPRODUCT(IFERROR(--(INT(Attendance[Start time])=Training_Attendance[[#This Row],[Date]]),0)*IFERROR(--(ISNUMBER(SEARCH(M$1,Attendance[Attendees]))),0)*IFERROR(--(Attendance[Session Type]="Training"),0))&gt;0,"Y","")</f>
        <v/>
      </c>
      <c r="N19" s="286" t="str" cm="1">
        <f t="array" ref="N19">IF(SUMPRODUCT(IFERROR(--(INT(Attendance[Start time])=Training_Attendance[[#This Row],[Date]]),0)*IFERROR(--(ISNUMBER(SEARCH(N$1,Attendance[Attendees]))),0)*IFERROR(--(Attendance[Session Type]="Training"),0))&gt;0,"Y","")</f>
        <v/>
      </c>
      <c r="O19" s="286" t="str" cm="1">
        <f t="array" ref="O19">IF(SUMPRODUCT(IFERROR(--(INT(Attendance[Start time])=Training_Attendance[[#This Row],[Date]]),0)*IFERROR(--(ISNUMBER(SEARCH(O$1,Attendance[Attendees]))),0)*IFERROR(--(Attendance[Session Type]="Training"),0))&gt;0,"Y","")</f>
        <v/>
      </c>
      <c r="P19" s="286" t="str" cm="1">
        <f t="array" ref="P19">IF(SUMPRODUCT(IFERROR(--(INT(Attendance[Start time])=Training_Attendance[[#This Row],[Date]]),0)*IFERROR(--(ISNUMBER(SEARCH(P$1,Attendance[Attendees]))),0)*IFERROR(--(Attendance[Session Type]="Training"),0))&gt;0,"Y","")</f>
        <v/>
      </c>
      <c r="Q19" s="286" t="str" cm="1">
        <f t="array" ref="Q19">IF(SUMPRODUCT(IFERROR(--(INT(Attendance[Start time])=Training_Attendance[[#This Row],[Date]]),0)*IFERROR(--(ISNUMBER(SEARCH(Q$1,Attendance[Attendees]))),0)*IFERROR(--(Attendance[Session Type]="Training"),0))&gt;0,"Y","")</f>
        <v/>
      </c>
      <c r="R19" s="286" t="str" cm="1">
        <f t="array" ref="R19">IF(SUMPRODUCT(IFERROR(--(INT(Attendance[Start time])=Training_Attendance[[#This Row],[Date]]),0)*IFERROR(--(ISNUMBER(SEARCH(R$1,Attendance[Attendees]))),0)*IFERROR(--(Attendance[Session Type]="Training"),0))&gt;0,"Y","")</f>
        <v/>
      </c>
      <c r="S19" s="286" t="str" cm="1">
        <f t="array" ref="S19">IF(SUMPRODUCT(IFERROR(--(INT(Attendance[Start time])=Training_Attendance[[#This Row],[Date]]),0)*IFERROR(--(ISNUMBER(SEARCH(S$1,Attendance[Attendees]))),0)*IFERROR(--(Attendance[Session Type]="Training"),0))&gt;0,"Y","")</f>
        <v/>
      </c>
      <c r="T19" s="286" t="str" cm="1">
        <f t="array" ref="T19">IF(SUMPRODUCT(IFERROR(--(INT(Attendance[Start time])=Training_Attendance[[#This Row],[Date]]),0)*IFERROR(--(ISNUMBER(SEARCH(T$1,Attendance[Attendees]))),0)*IFERROR(--(Attendance[Session Type]="Training"),0))&gt;0,"Y","")</f>
        <v/>
      </c>
      <c r="U19" s="286" t="str" cm="1">
        <f t="array" ref="U19">IF(SUMPRODUCT(IFERROR(--(INT(Attendance[Start time])=Training_Attendance[[#This Row],[Date]]),0)*IFERROR(--(ISNUMBER(SEARCH(U$1,Attendance[Attendees]))),0)*IFERROR(--(Attendance[Session Type]="Training"),0))&gt;0,"Y","")</f>
        <v/>
      </c>
      <c r="V19" s="286" t="str" cm="1">
        <f t="array" ref="V19">IF(SUMPRODUCT(IFERROR(--(INT(Attendance[Start time])=Training_Attendance[[#This Row],[Date]]),0)*IFERROR(--(ISNUMBER(SEARCH(V$1,Attendance[Attendees]))),0)*IFERROR(--(Attendance[Session Type]="Training"),0))&gt;0,"Y","")</f>
        <v/>
      </c>
      <c r="W19" s="286" t="str" cm="1">
        <f t="array" ref="W19">IF(SUMPRODUCT(IFERROR(--(INT(Attendance[Start time])=Training_Attendance[[#This Row],[Date]]),0)*IFERROR(--(ISNUMBER(SEARCH(W$1,Attendance[Attendees]))),0)*IFERROR(--(Attendance[Session Type]="Training"),0))&gt;0,"Y","")</f>
        <v/>
      </c>
      <c r="X19" s="286" t="str" cm="1">
        <f t="array" ref="X19">IF(SUMPRODUCT(IFERROR(--(INT(Attendance[Start time])=Training_Attendance[[#This Row],[Date]]),0)*IFERROR(--(ISNUMBER(SEARCH(X$1,Attendance[Attendees]))),0)*IFERROR(--(Attendance[Session Type]="Training"),0))&gt;0,"Y","")</f>
        <v/>
      </c>
      <c r="Y19" s="286" t="str" cm="1">
        <f t="array" ref="Y19">IF(SUMPRODUCT(IFERROR(--(INT(Attendance[Start time])=Training_Attendance[[#This Row],[Date]]),0)*IFERROR(--(ISNUMBER(SEARCH(Y$1,Attendance[Attendees]))),0)*IFERROR(--(Attendance[Session Type]="Training"),0))&gt;0,"Y","")</f>
        <v/>
      </c>
      <c r="Z19" s="286" t="str" cm="1">
        <f t="array" ref="Z19">IF(SUMPRODUCT(IFERROR(--(INT(Attendance[Start time])=Training_Attendance[[#This Row],[Date]]),0)*IFERROR(--(ISNUMBER(SEARCH(Z$1,Attendance[Attendees]))),0)*IFERROR(--(Attendance[Session Type]="Training"),0))&gt;0,"Y","")</f>
        <v/>
      </c>
      <c r="AA19" s="286" t="str" cm="1">
        <f t="array" ref="AA19">IF(SUMPRODUCT(IFERROR(--(INT(Attendance[Start time])=Training_Attendance[[#This Row],[Date]]),0)*IFERROR(--(ISNUMBER(SEARCH(AA$1,Attendance[Attendees]))),0)*IFERROR(--(Attendance[Session Type]="Training"),0))&gt;0,"Y","")</f>
        <v/>
      </c>
      <c r="AB19" s="286" t="str" cm="1">
        <f t="array" ref="AB19">IF(SUMPRODUCT(IFERROR(--(INT(Attendance[Start time])=Training_Attendance[[#This Row],[Date]]),0)*IFERROR(--(ISNUMBER(SEARCH(AB$1,Attendance[Attendees]))),0)*IFERROR(--(Attendance[Session Type]="Training"),0))&gt;0,"Y","")</f>
        <v/>
      </c>
      <c r="AC19" s="286" t="str" cm="1">
        <f t="array" ref="AC19">IF(SUMPRODUCT(IFERROR(--(INT(Attendance[Start time])=Training_Attendance[[#This Row],[Date]]),0)*IFERROR(--(ISNUMBER(SEARCH(AC$1,Attendance[Attendees]))),0)*IFERROR(--(Attendance[Session Type]="Training"),0))&gt;0,"Y","")</f>
        <v/>
      </c>
      <c r="AD19" s="265">
        <f>COUNTIF(Training_Attendance[[#This Row],[Alf M]:[Ronnie D]],"Y")</f>
        <v>0</v>
      </c>
    </row>
    <row r="20" spans="1:31" s="266" customFormat="1" ht="16" customHeight="1" x14ac:dyDescent="0.35">
      <c r="A20" s="225">
        <v>46393</v>
      </c>
      <c r="B20" s="220">
        <f>Training_Attendance[[#This Row],[Date]]</f>
        <v>46393</v>
      </c>
      <c r="C20" s="166" t="s">
        <v>84</v>
      </c>
      <c r="D20" s="286" t="str" cm="1">
        <f t="array" ref="D20">IF(SUMPRODUCT(IFERROR(--(INT(Attendance[Start time])=Training_Attendance[[#This Row],[Date]]),0)*IFERROR(--(ISNUMBER(SEARCH(D$1,Attendance[Attendees]))),0)*IFERROR(--(Attendance[Session Type]="Training"),0))&gt;0,"Y","")</f>
        <v/>
      </c>
      <c r="E20" s="286" t="str" cm="1">
        <f t="array" ref="E20">IF(SUMPRODUCT(IFERROR(--(INT(Attendance[Start time])=Training_Attendance[[#This Row],[Date]]),0)*IFERROR(--(ISNUMBER(SEARCH(E$1,Attendance[Attendees]))),0)*IFERROR(--(Attendance[Session Type]="Training"),0))&gt;0,"Y","")</f>
        <v/>
      </c>
      <c r="F20" s="286" t="str" cm="1">
        <f t="array" ref="F20">IF(SUMPRODUCT(IFERROR(--(INT(Attendance[Start time])=Training_Attendance[[#This Row],[Date]]),0)*IFERROR(--(ISNUMBER(SEARCH(F$1,Attendance[Attendees]))),0)*IFERROR(--(Attendance[Session Type]="Training"),0))&gt;0,"Y","")</f>
        <v/>
      </c>
      <c r="G20" s="286" t="str" cm="1">
        <f t="array" ref="G20">IF(SUMPRODUCT(IFERROR(--(INT(Attendance[Start time])=Training_Attendance[[#This Row],[Date]]),0)*IFERROR(--(ISNUMBER(SEARCH(G$1,Attendance[Attendees]))),0)*IFERROR(--(Attendance[Session Type]="Training"),0))&gt;0,"Y","")</f>
        <v/>
      </c>
      <c r="H20" s="286" t="str" cm="1">
        <f t="array" ref="H20">IF(SUMPRODUCT(IFERROR(--(INT(Attendance[Start time])=Training_Attendance[[#This Row],[Date]]),0)*IFERROR(--(ISNUMBER(SEARCH(H$1,Attendance[Attendees]))),0)*IFERROR(--(Attendance[Session Type]="Training"),0))&gt;0,"Y","")</f>
        <v/>
      </c>
      <c r="I20" s="286" t="str" cm="1">
        <f t="array" ref="I20">IF(SUMPRODUCT(IFERROR(--(INT(Attendance[Start time])=Training_Attendance[[#This Row],[Date]]),0)*IFERROR(--(ISNUMBER(SEARCH(I$1,Attendance[Attendees]))),0)*IFERROR(--(Attendance[Session Type]="Training"),0))&gt;0,"Y","")</f>
        <v/>
      </c>
      <c r="J20" s="286" t="str" cm="1">
        <f t="array" ref="J20">IF(SUMPRODUCT(IFERROR(--(INT(Attendance[Start time])=Training_Attendance[[#This Row],[Date]]),0)*IFERROR(--(ISNUMBER(SEARCH(J$1,Attendance[Attendees]))),0)*IFERROR(--(Attendance[Session Type]="Training"),0))&gt;0,"Y","")</f>
        <v/>
      </c>
      <c r="K20" s="286" t="str" cm="1">
        <f t="array" ref="K20">IF(SUMPRODUCT(IFERROR(--(INT(Attendance[Start time])=Training_Attendance[[#This Row],[Date]]),0)*IFERROR(--(ISNUMBER(SEARCH(K$1,Attendance[Attendees]))),0)*IFERROR(--(Attendance[Session Type]="Training"),0))&gt;0,"Y","")</f>
        <v/>
      </c>
      <c r="L20" s="286" t="str" cm="1">
        <f t="array" ref="L20">IF(SUMPRODUCT(IFERROR(--(INT(Attendance[Start time])=Training_Attendance[[#This Row],[Date]]),0)*IFERROR(--(ISNUMBER(SEARCH(L$1,Attendance[Attendees]))),0)*IFERROR(--(Attendance[Session Type]="Training"),0))&gt;0,"Y","")</f>
        <v/>
      </c>
      <c r="M20" s="286" t="str" cm="1">
        <f t="array" ref="M20">IF(SUMPRODUCT(IFERROR(--(INT(Attendance[Start time])=Training_Attendance[[#This Row],[Date]]),0)*IFERROR(--(ISNUMBER(SEARCH(M$1,Attendance[Attendees]))),0)*IFERROR(--(Attendance[Session Type]="Training"),0))&gt;0,"Y","")</f>
        <v/>
      </c>
      <c r="N20" s="286" t="str" cm="1">
        <f t="array" ref="N20">IF(SUMPRODUCT(IFERROR(--(INT(Attendance[Start time])=Training_Attendance[[#This Row],[Date]]),0)*IFERROR(--(ISNUMBER(SEARCH(N$1,Attendance[Attendees]))),0)*IFERROR(--(Attendance[Session Type]="Training"),0))&gt;0,"Y","")</f>
        <v/>
      </c>
      <c r="O20" s="286" t="str" cm="1">
        <f t="array" ref="O20">IF(SUMPRODUCT(IFERROR(--(INT(Attendance[Start time])=Training_Attendance[[#This Row],[Date]]),0)*IFERROR(--(ISNUMBER(SEARCH(O$1,Attendance[Attendees]))),0)*IFERROR(--(Attendance[Session Type]="Training"),0))&gt;0,"Y","")</f>
        <v/>
      </c>
      <c r="P20" s="286" t="str" cm="1">
        <f t="array" ref="P20">IF(SUMPRODUCT(IFERROR(--(INT(Attendance[Start time])=Training_Attendance[[#This Row],[Date]]),0)*IFERROR(--(ISNUMBER(SEARCH(P$1,Attendance[Attendees]))),0)*IFERROR(--(Attendance[Session Type]="Training"),0))&gt;0,"Y","")</f>
        <v/>
      </c>
      <c r="Q20" s="286" t="str" cm="1">
        <f t="array" ref="Q20">IF(SUMPRODUCT(IFERROR(--(INT(Attendance[Start time])=Training_Attendance[[#This Row],[Date]]),0)*IFERROR(--(ISNUMBER(SEARCH(Q$1,Attendance[Attendees]))),0)*IFERROR(--(Attendance[Session Type]="Training"),0))&gt;0,"Y","")</f>
        <v/>
      </c>
      <c r="R20" s="286" t="str" cm="1">
        <f t="array" ref="R20">IF(SUMPRODUCT(IFERROR(--(INT(Attendance[Start time])=Training_Attendance[[#This Row],[Date]]),0)*IFERROR(--(ISNUMBER(SEARCH(R$1,Attendance[Attendees]))),0)*IFERROR(--(Attendance[Session Type]="Training"),0))&gt;0,"Y","")</f>
        <v/>
      </c>
      <c r="S20" s="286" t="str" cm="1">
        <f t="array" ref="S20">IF(SUMPRODUCT(IFERROR(--(INT(Attendance[Start time])=Training_Attendance[[#This Row],[Date]]),0)*IFERROR(--(ISNUMBER(SEARCH(S$1,Attendance[Attendees]))),0)*IFERROR(--(Attendance[Session Type]="Training"),0))&gt;0,"Y","")</f>
        <v/>
      </c>
      <c r="T20" s="286" t="str" cm="1">
        <f t="array" ref="T20">IF(SUMPRODUCT(IFERROR(--(INT(Attendance[Start time])=Training_Attendance[[#This Row],[Date]]),0)*IFERROR(--(ISNUMBER(SEARCH(T$1,Attendance[Attendees]))),0)*IFERROR(--(Attendance[Session Type]="Training"),0))&gt;0,"Y","")</f>
        <v/>
      </c>
      <c r="U20" s="286" t="str" cm="1">
        <f t="array" ref="U20">IF(SUMPRODUCT(IFERROR(--(INT(Attendance[Start time])=Training_Attendance[[#This Row],[Date]]),0)*IFERROR(--(ISNUMBER(SEARCH(U$1,Attendance[Attendees]))),0)*IFERROR(--(Attendance[Session Type]="Training"),0))&gt;0,"Y","")</f>
        <v/>
      </c>
      <c r="V20" s="286" t="str" cm="1">
        <f t="array" ref="V20">IF(SUMPRODUCT(IFERROR(--(INT(Attendance[Start time])=Training_Attendance[[#This Row],[Date]]),0)*IFERROR(--(ISNUMBER(SEARCH(V$1,Attendance[Attendees]))),0)*IFERROR(--(Attendance[Session Type]="Training"),0))&gt;0,"Y","")</f>
        <v/>
      </c>
      <c r="W20" s="286" t="str" cm="1">
        <f t="array" ref="W20">IF(SUMPRODUCT(IFERROR(--(INT(Attendance[Start time])=Training_Attendance[[#This Row],[Date]]),0)*IFERROR(--(ISNUMBER(SEARCH(W$1,Attendance[Attendees]))),0)*IFERROR(--(Attendance[Session Type]="Training"),0))&gt;0,"Y","")</f>
        <v/>
      </c>
      <c r="X20" s="286" t="str" cm="1">
        <f t="array" ref="X20">IF(SUMPRODUCT(IFERROR(--(INT(Attendance[Start time])=Training_Attendance[[#This Row],[Date]]),0)*IFERROR(--(ISNUMBER(SEARCH(X$1,Attendance[Attendees]))),0)*IFERROR(--(Attendance[Session Type]="Training"),0))&gt;0,"Y","")</f>
        <v/>
      </c>
      <c r="Y20" s="286" t="str" cm="1">
        <f t="array" ref="Y20">IF(SUMPRODUCT(IFERROR(--(INT(Attendance[Start time])=Training_Attendance[[#This Row],[Date]]),0)*IFERROR(--(ISNUMBER(SEARCH(Y$1,Attendance[Attendees]))),0)*IFERROR(--(Attendance[Session Type]="Training"),0))&gt;0,"Y","")</f>
        <v/>
      </c>
      <c r="Z20" s="286" t="str" cm="1">
        <f t="array" ref="Z20">IF(SUMPRODUCT(IFERROR(--(INT(Attendance[Start time])=Training_Attendance[[#This Row],[Date]]),0)*IFERROR(--(ISNUMBER(SEARCH(Z$1,Attendance[Attendees]))),0)*IFERROR(--(Attendance[Session Type]="Training"),0))&gt;0,"Y","")</f>
        <v/>
      </c>
      <c r="AA20" s="286" t="str" cm="1">
        <f t="array" ref="AA20">IF(SUMPRODUCT(IFERROR(--(INT(Attendance[Start time])=Training_Attendance[[#This Row],[Date]]),0)*IFERROR(--(ISNUMBER(SEARCH(AA$1,Attendance[Attendees]))),0)*IFERROR(--(Attendance[Session Type]="Training"),0))&gt;0,"Y","")</f>
        <v/>
      </c>
      <c r="AB20" s="286" t="str" cm="1">
        <f t="array" ref="AB20">IF(SUMPRODUCT(IFERROR(--(INT(Attendance[Start time])=Training_Attendance[[#This Row],[Date]]),0)*IFERROR(--(ISNUMBER(SEARCH(AB$1,Attendance[Attendees]))),0)*IFERROR(--(Attendance[Session Type]="Training"),0))&gt;0,"Y","")</f>
        <v/>
      </c>
      <c r="AC20" s="286" t="str" cm="1">
        <f t="array" ref="AC20">IF(SUMPRODUCT(IFERROR(--(INT(Attendance[Start time])=Training_Attendance[[#This Row],[Date]]),0)*IFERROR(--(ISNUMBER(SEARCH(AC$1,Attendance[Attendees]))),0)*IFERROR(--(Attendance[Session Type]="Training"),0))&gt;0,"Y","")</f>
        <v/>
      </c>
      <c r="AD20" s="267">
        <f>COUNTIF(Training_Attendance[[#This Row],[Alf M]:[Ronnie D]],"Y")</f>
        <v>0</v>
      </c>
    </row>
    <row r="21" spans="1:31" s="266" customFormat="1" ht="16" customHeight="1" x14ac:dyDescent="0.35">
      <c r="A21" s="225">
        <v>46400</v>
      </c>
      <c r="B21" s="220">
        <f>Training_Attendance[[#This Row],[Date]]</f>
        <v>46400</v>
      </c>
      <c r="C21" s="166" t="s">
        <v>84</v>
      </c>
      <c r="D21" s="286" t="str" cm="1">
        <f t="array" ref="D21">IF(SUMPRODUCT(IFERROR(--(INT(Attendance[Start time])=Training_Attendance[[#This Row],[Date]]),0)*IFERROR(--(ISNUMBER(SEARCH(D$1,Attendance[Attendees]))),0)*IFERROR(--(Attendance[Session Type]="Training"),0))&gt;0,"Y","")</f>
        <v/>
      </c>
      <c r="E21" s="286" t="str" cm="1">
        <f t="array" ref="E21">IF(SUMPRODUCT(IFERROR(--(INT(Attendance[Start time])=Training_Attendance[[#This Row],[Date]]),0)*IFERROR(--(ISNUMBER(SEARCH(E$1,Attendance[Attendees]))),0)*IFERROR(--(Attendance[Session Type]="Training"),0))&gt;0,"Y","")</f>
        <v/>
      </c>
      <c r="F21" s="286" t="str" cm="1">
        <f t="array" ref="F21">IF(SUMPRODUCT(IFERROR(--(INT(Attendance[Start time])=Training_Attendance[[#This Row],[Date]]),0)*IFERROR(--(ISNUMBER(SEARCH(F$1,Attendance[Attendees]))),0)*IFERROR(--(Attendance[Session Type]="Training"),0))&gt;0,"Y","")</f>
        <v/>
      </c>
      <c r="G21" s="286" t="str" cm="1">
        <f t="array" ref="G21">IF(SUMPRODUCT(IFERROR(--(INT(Attendance[Start time])=Training_Attendance[[#This Row],[Date]]),0)*IFERROR(--(ISNUMBER(SEARCH(G$1,Attendance[Attendees]))),0)*IFERROR(--(Attendance[Session Type]="Training"),0))&gt;0,"Y","")</f>
        <v/>
      </c>
      <c r="H21" s="286" t="str" cm="1">
        <f t="array" ref="H21">IF(SUMPRODUCT(IFERROR(--(INT(Attendance[Start time])=Training_Attendance[[#This Row],[Date]]),0)*IFERROR(--(ISNUMBER(SEARCH(H$1,Attendance[Attendees]))),0)*IFERROR(--(Attendance[Session Type]="Training"),0))&gt;0,"Y","")</f>
        <v/>
      </c>
      <c r="I21" s="286" t="str" cm="1">
        <f t="array" ref="I21">IF(SUMPRODUCT(IFERROR(--(INT(Attendance[Start time])=Training_Attendance[[#This Row],[Date]]),0)*IFERROR(--(ISNUMBER(SEARCH(I$1,Attendance[Attendees]))),0)*IFERROR(--(Attendance[Session Type]="Training"),0))&gt;0,"Y","")</f>
        <v/>
      </c>
      <c r="J21" s="286" t="str" cm="1">
        <f t="array" ref="J21">IF(SUMPRODUCT(IFERROR(--(INT(Attendance[Start time])=Training_Attendance[[#This Row],[Date]]),0)*IFERROR(--(ISNUMBER(SEARCH(J$1,Attendance[Attendees]))),0)*IFERROR(--(Attendance[Session Type]="Training"),0))&gt;0,"Y","")</f>
        <v/>
      </c>
      <c r="K21" s="286" t="str" cm="1">
        <f t="array" ref="K21">IF(SUMPRODUCT(IFERROR(--(INT(Attendance[Start time])=Training_Attendance[[#This Row],[Date]]),0)*IFERROR(--(ISNUMBER(SEARCH(K$1,Attendance[Attendees]))),0)*IFERROR(--(Attendance[Session Type]="Training"),0))&gt;0,"Y","")</f>
        <v/>
      </c>
      <c r="L21" s="286" t="str" cm="1">
        <f t="array" ref="L21">IF(SUMPRODUCT(IFERROR(--(INT(Attendance[Start time])=Training_Attendance[[#This Row],[Date]]),0)*IFERROR(--(ISNUMBER(SEARCH(L$1,Attendance[Attendees]))),0)*IFERROR(--(Attendance[Session Type]="Training"),0))&gt;0,"Y","")</f>
        <v/>
      </c>
      <c r="M21" s="286" t="str" cm="1">
        <f t="array" ref="M21">IF(SUMPRODUCT(IFERROR(--(INT(Attendance[Start time])=Training_Attendance[[#This Row],[Date]]),0)*IFERROR(--(ISNUMBER(SEARCH(M$1,Attendance[Attendees]))),0)*IFERROR(--(Attendance[Session Type]="Training"),0))&gt;0,"Y","")</f>
        <v/>
      </c>
      <c r="N21" s="286" t="str" cm="1">
        <f t="array" ref="N21">IF(SUMPRODUCT(IFERROR(--(INT(Attendance[Start time])=Training_Attendance[[#This Row],[Date]]),0)*IFERROR(--(ISNUMBER(SEARCH(N$1,Attendance[Attendees]))),0)*IFERROR(--(Attendance[Session Type]="Training"),0))&gt;0,"Y","")</f>
        <v/>
      </c>
      <c r="O21" s="286" t="str" cm="1">
        <f t="array" ref="O21">IF(SUMPRODUCT(IFERROR(--(INT(Attendance[Start time])=Training_Attendance[[#This Row],[Date]]),0)*IFERROR(--(ISNUMBER(SEARCH(O$1,Attendance[Attendees]))),0)*IFERROR(--(Attendance[Session Type]="Training"),0))&gt;0,"Y","")</f>
        <v/>
      </c>
      <c r="P21" s="286" t="str" cm="1">
        <f t="array" ref="P21">IF(SUMPRODUCT(IFERROR(--(INT(Attendance[Start time])=Training_Attendance[[#This Row],[Date]]),0)*IFERROR(--(ISNUMBER(SEARCH(P$1,Attendance[Attendees]))),0)*IFERROR(--(Attendance[Session Type]="Training"),0))&gt;0,"Y","")</f>
        <v/>
      </c>
      <c r="Q21" s="286" t="str" cm="1">
        <f t="array" ref="Q21">IF(SUMPRODUCT(IFERROR(--(INT(Attendance[Start time])=Training_Attendance[[#This Row],[Date]]),0)*IFERROR(--(ISNUMBER(SEARCH(Q$1,Attendance[Attendees]))),0)*IFERROR(--(Attendance[Session Type]="Training"),0))&gt;0,"Y","")</f>
        <v/>
      </c>
      <c r="R21" s="286" t="str" cm="1">
        <f t="array" ref="R21">IF(SUMPRODUCT(IFERROR(--(INT(Attendance[Start time])=Training_Attendance[[#This Row],[Date]]),0)*IFERROR(--(ISNUMBER(SEARCH(R$1,Attendance[Attendees]))),0)*IFERROR(--(Attendance[Session Type]="Training"),0))&gt;0,"Y","")</f>
        <v/>
      </c>
      <c r="S21" s="286" t="str" cm="1">
        <f t="array" ref="S21">IF(SUMPRODUCT(IFERROR(--(INT(Attendance[Start time])=Training_Attendance[[#This Row],[Date]]),0)*IFERROR(--(ISNUMBER(SEARCH(S$1,Attendance[Attendees]))),0)*IFERROR(--(Attendance[Session Type]="Training"),0))&gt;0,"Y","")</f>
        <v/>
      </c>
      <c r="T21" s="286" t="str" cm="1">
        <f t="array" ref="T21">IF(SUMPRODUCT(IFERROR(--(INT(Attendance[Start time])=Training_Attendance[[#This Row],[Date]]),0)*IFERROR(--(ISNUMBER(SEARCH(T$1,Attendance[Attendees]))),0)*IFERROR(--(Attendance[Session Type]="Training"),0))&gt;0,"Y","")</f>
        <v/>
      </c>
      <c r="U21" s="286" t="str" cm="1">
        <f t="array" ref="U21">IF(SUMPRODUCT(IFERROR(--(INT(Attendance[Start time])=Training_Attendance[[#This Row],[Date]]),0)*IFERROR(--(ISNUMBER(SEARCH(U$1,Attendance[Attendees]))),0)*IFERROR(--(Attendance[Session Type]="Training"),0))&gt;0,"Y","")</f>
        <v/>
      </c>
      <c r="V21" s="286" t="str" cm="1">
        <f t="array" ref="V21">IF(SUMPRODUCT(IFERROR(--(INT(Attendance[Start time])=Training_Attendance[[#This Row],[Date]]),0)*IFERROR(--(ISNUMBER(SEARCH(V$1,Attendance[Attendees]))),0)*IFERROR(--(Attendance[Session Type]="Training"),0))&gt;0,"Y","")</f>
        <v/>
      </c>
      <c r="W21" s="286" t="str" cm="1">
        <f t="array" ref="W21">IF(SUMPRODUCT(IFERROR(--(INT(Attendance[Start time])=Training_Attendance[[#This Row],[Date]]),0)*IFERROR(--(ISNUMBER(SEARCH(W$1,Attendance[Attendees]))),0)*IFERROR(--(Attendance[Session Type]="Training"),0))&gt;0,"Y","")</f>
        <v/>
      </c>
      <c r="X21" s="286" t="str" cm="1">
        <f t="array" ref="X21">IF(SUMPRODUCT(IFERROR(--(INT(Attendance[Start time])=Training_Attendance[[#This Row],[Date]]),0)*IFERROR(--(ISNUMBER(SEARCH(X$1,Attendance[Attendees]))),0)*IFERROR(--(Attendance[Session Type]="Training"),0))&gt;0,"Y","")</f>
        <v/>
      </c>
      <c r="Y21" s="286" t="str" cm="1">
        <f t="array" ref="Y21">IF(SUMPRODUCT(IFERROR(--(INT(Attendance[Start time])=Training_Attendance[[#This Row],[Date]]),0)*IFERROR(--(ISNUMBER(SEARCH(Y$1,Attendance[Attendees]))),0)*IFERROR(--(Attendance[Session Type]="Training"),0))&gt;0,"Y","")</f>
        <v/>
      </c>
      <c r="Z21" s="286" t="str" cm="1">
        <f t="array" ref="Z21">IF(SUMPRODUCT(IFERROR(--(INT(Attendance[Start time])=Training_Attendance[[#This Row],[Date]]),0)*IFERROR(--(ISNUMBER(SEARCH(Z$1,Attendance[Attendees]))),0)*IFERROR(--(Attendance[Session Type]="Training"),0))&gt;0,"Y","")</f>
        <v/>
      </c>
      <c r="AA21" s="286" t="str" cm="1">
        <f t="array" ref="AA21">IF(SUMPRODUCT(IFERROR(--(INT(Attendance[Start time])=Training_Attendance[[#This Row],[Date]]),0)*IFERROR(--(ISNUMBER(SEARCH(AA$1,Attendance[Attendees]))),0)*IFERROR(--(Attendance[Session Type]="Training"),0))&gt;0,"Y","")</f>
        <v/>
      </c>
      <c r="AB21" s="286" t="str" cm="1">
        <f t="array" ref="AB21">IF(SUMPRODUCT(IFERROR(--(INT(Attendance[Start time])=Training_Attendance[[#This Row],[Date]]),0)*IFERROR(--(ISNUMBER(SEARCH(AB$1,Attendance[Attendees]))),0)*IFERROR(--(Attendance[Session Type]="Training"),0))&gt;0,"Y","")</f>
        <v/>
      </c>
      <c r="AC21" s="286" t="str" cm="1">
        <f t="array" ref="AC21">IF(SUMPRODUCT(IFERROR(--(INT(Attendance[Start time])=Training_Attendance[[#This Row],[Date]]),0)*IFERROR(--(ISNUMBER(SEARCH(AC$1,Attendance[Attendees]))),0)*IFERROR(--(Attendance[Session Type]="Training"),0))&gt;0,"Y","")</f>
        <v/>
      </c>
      <c r="AD21" s="265">
        <f>COUNTIF(Training_Attendance[[#This Row],[Alf M]:[Ronnie D]],"Y")</f>
        <v>0</v>
      </c>
    </row>
    <row r="22" spans="1:31" s="266" customFormat="1" ht="16" customHeight="1" x14ac:dyDescent="0.35">
      <c r="A22" s="225">
        <v>46407</v>
      </c>
      <c r="B22" s="220">
        <f>Training_Attendance[[#This Row],[Date]]</f>
        <v>46407</v>
      </c>
      <c r="C22" s="166" t="s">
        <v>84</v>
      </c>
      <c r="D22" s="286" t="str" cm="1">
        <f t="array" ref="D22">IF(SUMPRODUCT(IFERROR(--(INT(Attendance[Start time])=Training_Attendance[[#This Row],[Date]]),0)*IFERROR(--(ISNUMBER(SEARCH(D$1,Attendance[Attendees]))),0)*IFERROR(--(Attendance[Session Type]="Training"),0))&gt;0,"Y","")</f>
        <v/>
      </c>
      <c r="E22" s="286" t="str" cm="1">
        <f t="array" ref="E22">IF(SUMPRODUCT(IFERROR(--(INT(Attendance[Start time])=Training_Attendance[[#This Row],[Date]]),0)*IFERROR(--(ISNUMBER(SEARCH(E$1,Attendance[Attendees]))),0)*IFERROR(--(Attendance[Session Type]="Training"),0))&gt;0,"Y","")</f>
        <v/>
      </c>
      <c r="F22" s="286" t="str" cm="1">
        <f t="array" ref="F22">IF(SUMPRODUCT(IFERROR(--(INT(Attendance[Start time])=Training_Attendance[[#This Row],[Date]]),0)*IFERROR(--(ISNUMBER(SEARCH(F$1,Attendance[Attendees]))),0)*IFERROR(--(Attendance[Session Type]="Training"),0))&gt;0,"Y","")</f>
        <v/>
      </c>
      <c r="G22" s="286" t="str" cm="1">
        <f t="array" ref="G22">IF(SUMPRODUCT(IFERROR(--(INT(Attendance[Start time])=Training_Attendance[[#This Row],[Date]]),0)*IFERROR(--(ISNUMBER(SEARCH(G$1,Attendance[Attendees]))),0)*IFERROR(--(Attendance[Session Type]="Training"),0))&gt;0,"Y","")</f>
        <v/>
      </c>
      <c r="H22" s="286" t="str" cm="1">
        <f t="array" ref="H22">IF(SUMPRODUCT(IFERROR(--(INT(Attendance[Start time])=Training_Attendance[[#This Row],[Date]]),0)*IFERROR(--(ISNUMBER(SEARCH(H$1,Attendance[Attendees]))),0)*IFERROR(--(Attendance[Session Type]="Training"),0))&gt;0,"Y","")</f>
        <v/>
      </c>
      <c r="I22" s="286" t="str" cm="1">
        <f t="array" ref="I22">IF(SUMPRODUCT(IFERROR(--(INT(Attendance[Start time])=Training_Attendance[[#This Row],[Date]]),0)*IFERROR(--(ISNUMBER(SEARCH(I$1,Attendance[Attendees]))),0)*IFERROR(--(Attendance[Session Type]="Training"),0))&gt;0,"Y","")</f>
        <v/>
      </c>
      <c r="J22" s="286" t="str" cm="1">
        <f t="array" ref="J22">IF(SUMPRODUCT(IFERROR(--(INT(Attendance[Start time])=Training_Attendance[[#This Row],[Date]]),0)*IFERROR(--(ISNUMBER(SEARCH(J$1,Attendance[Attendees]))),0)*IFERROR(--(Attendance[Session Type]="Training"),0))&gt;0,"Y","")</f>
        <v/>
      </c>
      <c r="K22" s="286" t="str" cm="1">
        <f t="array" ref="K22">IF(SUMPRODUCT(IFERROR(--(INT(Attendance[Start time])=Training_Attendance[[#This Row],[Date]]),0)*IFERROR(--(ISNUMBER(SEARCH(K$1,Attendance[Attendees]))),0)*IFERROR(--(Attendance[Session Type]="Training"),0))&gt;0,"Y","")</f>
        <v/>
      </c>
      <c r="L22" s="286" t="str" cm="1">
        <f t="array" ref="L22">IF(SUMPRODUCT(IFERROR(--(INT(Attendance[Start time])=Training_Attendance[[#This Row],[Date]]),0)*IFERROR(--(ISNUMBER(SEARCH(L$1,Attendance[Attendees]))),0)*IFERROR(--(Attendance[Session Type]="Training"),0))&gt;0,"Y","")</f>
        <v/>
      </c>
      <c r="M22" s="286" t="str" cm="1">
        <f t="array" ref="M22">IF(SUMPRODUCT(IFERROR(--(INT(Attendance[Start time])=Training_Attendance[[#This Row],[Date]]),0)*IFERROR(--(ISNUMBER(SEARCH(M$1,Attendance[Attendees]))),0)*IFERROR(--(Attendance[Session Type]="Training"),0))&gt;0,"Y","")</f>
        <v/>
      </c>
      <c r="N22" s="286" t="str" cm="1">
        <f t="array" ref="N22">IF(SUMPRODUCT(IFERROR(--(INT(Attendance[Start time])=Training_Attendance[[#This Row],[Date]]),0)*IFERROR(--(ISNUMBER(SEARCH(N$1,Attendance[Attendees]))),0)*IFERROR(--(Attendance[Session Type]="Training"),0))&gt;0,"Y","")</f>
        <v/>
      </c>
      <c r="O22" s="286" t="str" cm="1">
        <f t="array" ref="O22">IF(SUMPRODUCT(IFERROR(--(INT(Attendance[Start time])=Training_Attendance[[#This Row],[Date]]),0)*IFERROR(--(ISNUMBER(SEARCH(O$1,Attendance[Attendees]))),0)*IFERROR(--(Attendance[Session Type]="Training"),0))&gt;0,"Y","")</f>
        <v/>
      </c>
      <c r="P22" s="286" t="str" cm="1">
        <f t="array" ref="P22">IF(SUMPRODUCT(IFERROR(--(INT(Attendance[Start time])=Training_Attendance[[#This Row],[Date]]),0)*IFERROR(--(ISNUMBER(SEARCH(P$1,Attendance[Attendees]))),0)*IFERROR(--(Attendance[Session Type]="Training"),0))&gt;0,"Y","")</f>
        <v/>
      </c>
      <c r="Q22" s="286" t="str" cm="1">
        <f t="array" ref="Q22">IF(SUMPRODUCT(IFERROR(--(INT(Attendance[Start time])=Training_Attendance[[#This Row],[Date]]),0)*IFERROR(--(ISNUMBER(SEARCH(Q$1,Attendance[Attendees]))),0)*IFERROR(--(Attendance[Session Type]="Training"),0))&gt;0,"Y","")</f>
        <v/>
      </c>
      <c r="R22" s="286" t="str" cm="1">
        <f t="array" ref="R22">IF(SUMPRODUCT(IFERROR(--(INT(Attendance[Start time])=Training_Attendance[[#This Row],[Date]]),0)*IFERROR(--(ISNUMBER(SEARCH(R$1,Attendance[Attendees]))),0)*IFERROR(--(Attendance[Session Type]="Training"),0))&gt;0,"Y","")</f>
        <v/>
      </c>
      <c r="S22" s="286" t="str" cm="1">
        <f t="array" ref="S22">IF(SUMPRODUCT(IFERROR(--(INT(Attendance[Start time])=Training_Attendance[[#This Row],[Date]]),0)*IFERROR(--(ISNUMBER(SEARCH(S$1,Attendance[Attendees]))),0)*IFERROR(--(Attendance[Session Type]="Training"),0))&gt;0,"Y","")</f>
        <v/>
      </c>
      <c r="T22" s="286" t="str" cm="1">
        <f t="array" ref="T22">IF(SUMPRODUCT(IFERROR(--(INT(Attendance[Start time])=Training_Attendance[[#This Row],[Date]]),0)*IFERROR(--(ISNUMBER(SEARCH(T$1,Attendance[Attendees]))),0)*IFERROR(--(Attendance[Session Type]="Training"),0))&gt;0,"Y","")</f>
        <v/>
      </c>
      <c r="U22" s="286" t="str" cm="1">
        <f t="array" ref="U22">IF(SUMPRODUCT(IFERROR(--(INT(Attendance[Start time])=Training_Attendance[[#This Row],[Date]]),0)*IFERROR(--(ISNUMBER(SEARCH(U$1,Attendance[Attendees]))),0)*IFERROR(--(Attendance[Session Type]="Training"),0))&gt;0,"Y","")</f>
        <v/>
      </c>
      <c r="V22" s="286" t="str" cm="1">
        <f t="array" ref="V22">IF(SUMPRODUCT(IFERROR(--(INT(Attendance[Start time])=Training_Attendance[[#This Row],[Date]]),0)*IFERROR(--(ISNUMBER(SEARCH(V$1,Attendance[Attendees]))),0)*IFERROR(--(Attendance[Session Type]="Training"),0))&gt;0,"Y","")</f>
        <v/>
      </c>
      <c r="W22" s="286" t="str" cm="1">
        <f t="array" ref="W22">IF(SUMPRODUCT(IFERROR(--(INT(Attendance[Start time])=Training_Attendance[[#This Row],[Date]]),0)*IFERROR(--(ISNUMBER(SEARCH(W$1,Attendance[Attendees]))),0)*IFERROR(--(Attendance[Session Type]="Training"),0))&gt;0,"Y","")</f>
        <v/>
      </c>
      <c r="X22" s="286" t="str" cm="1">
        <f t="array" ref="X22">IF(SUMPRODUCT(IFERROR(--(INT(Attendance[Start time])=Training_Attendance[[#This Row],[Date]]),0)*IFERROR(--(ISNUMBER(SEARCH(X$1,Attendance[Attendees]))),0)*IFERROR(--(Attendance[Session Type]="Training"),0))&gt;0,"Y","")</f>
        <v/>
      </c>
      <c r="Y22" s="286" t="str" cm="1">
        <f t="array" ref="Y22">IF(SUMPRODUCT(IFERROR(--(INT(Attendance[Start time])=Training_Attendance[[#This Row],[Date]]),0)*IFERROR(--(ISNUMBER(SEARCH(Y$1,Attendance[Attendees]))),0)*IFERROR(--(Attendance[Session Type]="Training"),0))&gt;0,"Y","")</f>
        <v/>
      </c>
      <c r="Z22" s="286" t="str" cm="1">
        <f t="array" ref="Z22">IF(SUMPRODUCT(IFERROR(--(INT(Attendance[Start time])=Training_Attendance[[#This Row],[Date]]),0)*IFERROR(--(ISNUMBER(SEARCH(Z$1,Attendance[Attendees]))),0)*IFERROR(--(Attendance[Session Type]="Training"),0))&gt;0,"Y","")</f>
        <v/>
      </c>
      <c r="AA22" s="286" t="str" cm="1">
        <f t="array" ref="AA22">IF(SUMPRODUCT(IFERROR(--(INT(Attendance[Start time])=Training_Attendance[[#This Row],[Date]]),0)*IFERROR(--(ISNUMBER(SEARCH(AA$1,Attendance[Attendees]))),0)*IFERROR(--(Attendance[Session Type]="Training"),0))&gt;0,"Y","")</f>
        <v/>
      </c>
      <c r="AB22" s="286" t="str" cm="1">
        <f t="array" ref="AB22">IF(SUMPRODUCT(IFERROR(--(INT(Attendance[Start time])=Training_Attendance[[#This Row],[Date]]),0)*IFERROR(--(ISNUMBER(SEARCH(AB$1,Attendance[Attendees]))),0)*IFERROR(--(Attendance[Session Type]="Training"),0))&gt;0,"Y","")</f>
        <v/>
      </c>
      <c r="AC22" s="286" t="str" cm="1">
        <f t="array" ref="AC22">IF(SUMPRODUCT(IFERROR(--(INT(Attendance[Start time])=Training_Attendance[[#This Row],[Date]]),0)*IFERROR(--(ISNUMBER(SEARCH(AC$1,Attendance[Attendees]))),0)*IFERROR(--(Attendance[Session Type]="Training"),0))&gt;0,"Y","")</f>
        <v/>
      </c>
      <c r="AD22" s="265">
        <f>COUNTIF(Training_Attendance[[#This Row],[Alf M]:[Ronnie D]],"Y")</f>
        <v>0</v>
      </c>
    </row>
    <row r="23" spans="1:31" s="266" customFormat="1" ht="16" customHeight="1" x14ac:dyDescent="0.35">
      <c r="A23" s="225">
        <v>46414</v>
      </c>
      <c r="B23" s="220">
        <f>Training_Attendance[[#This Row],[Date]]</f>
        <v>46414</v>
      </c>
      <c r="C23" s="166" t="s">
        <v>84</v>
      </c>
      <c r="D23" s="286" t="str" cm="1">
        <f t="array" ref="D23">IF(SUMPRODUCT(IFERROR(--(INT(Attendance[Start time])=Training_Attendance[[#This Row],[Date]]),0)*IFERROR(--(ISNUMBER(SEARCH(D$1,Attendance[Attendees]))),0)*IFERROR(--(Attendance[Session Type]="Training"),0))&gt;0,"Y","")</f>
        <v/>
      </c>
      <c r="E23" s="286" t="str" cm="1">
        <f t="array" ref="E23">IF(SUMPRODUCT(IFERROR(--(INT(Attendance[Start time])=Training_Attendance[[#This Row],[Date]]),0)*IFERROR(--(ISNUMBER(SEARCH(E$1,Attendance[Attendees]))),0)*IFERROR(--(Attendance[Session Type]="Training"),0))&gt;0,"Y","")</f>
        <v/>
      </c>
      <c r="F23" s="286" t="str" cm="1">
        <f t="array" ref="F23">IF(SUMPRODUCT(IFERROR(--(INT(Attendance[Start time])=Training_Attendance[[#This Row],[Date]]),0)*IFERROR(--(ISNUMBER(SEARCH(F$1,Attendance[Attendees]))),0)*IFERROR(--(Attendance[Session Type]="Training"),0))&gt;0,"Y","")</f>
        <v/>
      </c>
      <c r="G23" s="286" t="str" cm="1">
        <f t="array" ref="G23">IF(SUMPRODUCT(IFERROR(--(INT(Attendance[Start time])=Training_Attendance[[#This Row],[Date]]),0)*IFERROR(--(ISNUMBER(SEARCH(G$1,Attendance[Attendees]))),0)*IFERROR(--(Attendance[Session Type]="Training"),0))&gt;0,"Y","")</f>
        <v/>
      </c>
      <c r="H23" s="286" t="str" cm="1">
        <f t="array" ref="H23">IF(SUMPRODUCT(IFERROR(--(INT(Attendance[Start time])=Training_Attendance[[#This Row],[Date]]),0)*IFERROR(--(ISNUMBER(SEARCH(H$1,Attendance[Attendees]))),0)*IFERROR(--(Attendance[Session Type]="Training"),0))&gt;0,"Y","")</f>
        <v/>
      </c>
      <c r="I23" s="286" t="str" cm="1">
        <f t="array" ref="I23">IF(SUMPRODUCT(IFERROR(--(INT(Attendance[Start time])=Training_Attendance[[#This Row],[Date]]),0)*IFERROR(--(ISNUMBER(SEARCH(I$1,Attendance[Attendees]))),0)*IFERROR(--(Attendance[Session Type]="Training"),0))&gt;0,"Y","")</f>
        <v/>
      </c>
      <c r="J23" s="286" t="str" cm="1">
        <f t="array" ref="J23">IF(SUMPRODUCT(IFERROR(--(INT(Attendance[Start time])=Training_Attendance[[#This Row],[Date]]),0)*IFERROR(--(ISNUMBER(SEARCH(J$1,Attendance[Attendees]))),0)*IFERROR(--(Attendance[Session Type]="Training"),0))&gt;0,"Y","")</f>
        <v/>
      </c>
      <c r="K23" s="286" t="str" cm="1">
        <f t="array" ref="K23">IF(SUMPRODUCT(IFERROR(--(INT(Attendance[Start time])=Training_Attendance[[#This Row],[Date]]),0)*IFERROR(--(ISNUMBER(SEARCH(K$1,Attendance[Attendees]))),0)*IFERROR(--(Attendance[Session Type]="Training"),0))&gt;0,"Y","")</f>
        <v/>
      </c>
      <c r="L23" s="286" t="str" cm="1">
        <f t="array" ref="L23">IF(SUMPRODUCT(IFERROR(--(INT(Attendance[Start time])=Training_Attendance[[#This Row],[Date]]),0)*IFERROR(--(ISNUMBER(SEARCH(L$1,Attendance[Attendees]))),0)*IFERROR(--(Attendance[Session Type]="Training"),0))&gt;0,"Y","")</f>
        <v/>
      </c>
      <c r="M23" s="286" t="str" cm="1">
        <f t="array" ref="M23">IF(SUMPRODUCT(IFERROR(--(INT(Attendance[Start time])=Training_Attendance[[#This Row],[Date]]),0)*IFERROR(--(ISNUMBER(SEARCH(M$1,Attendance[Attendees]))),0)*IFERROR(--(Attendance[Session Type]="Training"),0))&gt;0,"Y","")</f>
        <v/>
      </c>
      <c r="N23" s="286" t="str" cm="1">
        <f t="array" ref="N23">IF(SUMPRODUCT(IFERROR(--(INT(Attendance[Start time])=Training_Attendance[[#This Row],[Date]]),0)*IFERROR(--(ISNUMBER(SEARCH(N$1,Attendance[Attendees]))),0)*IFERROR(--(Attendance[Session Type]="Training"),0))&gt;0,"Y","")</f>
        <v/>
      </c>
      <c r="O23" s="286" t="str" cm="1">
        <f t="array" ref="O23">IF(SUMPRODUCT(IFERROR(--(INT(Attendance[Start time])=Training_Attendance[[#This Row],[Date]]),0)*IFERROR(--(ISNUMBER(SEARCH(O$1,Attendance[Attendees]))),0)*IFERROR(--(Attendance[Session Type]="Training"),0))&gt;0,"Y","")</f>
        <v/>
      </c>
      <c r="P23" s="286" t="str" cm="1">
        <f t="array" ref="P23">IF(SUMPRODUCT(IFERROR(--(INT(Attendance[Start time])=Training_Attendance[[#This Row],[Date]]),0)*IFERROR(--(ISNUMBER(SEARCH(P$1,Attendance[Attendees]))),0)*IFERROR(--(Attendance[Session Type]="Training"),0))&gt;0,"Y","")</f>
        <v/>
      </c>
      <c r="Q23" s="286" t="str" cm="1">
        <f t="array" ref="Q23">IF(SUMPRODUCT(IFERROR(--(INT(Attendance[Start time])=Training_Attendance[[#This Row],[Date]]),0)*IFERROR(--(ISNUMBER(SEARCH(Q$1,Attendance[Attendees]))),0)*IFERROR(--(Attendance[Session Type]="Training"),0))&gt;0,"Y","")</f>
        <v/>
      </c>
      <c r="R23" s="286" t="str" cm="1">
        <f t="array" ref="R23">IF(SUMPRODUCT(IFERROR(--(INT(Attendance[Start time])=Training_Attendance[[#This Row],[Date]]),0)*IFERROR(--(ISNUMBER(SEARCH(R$1,Attendance[Attendees]))),0)*IFERROR(--(Attendance[Session Type]="Training"),0))&gt;0,"Y","")</f>
        <v/>
      </c>
      <c r="S23" s="286" t="str" cm="1">
        <f t="array" ref="S23">IF(SUMPRODUCT(IFERROR(--(INT(Attendance[Start time])=Training_Attendance[[#This Row],[Date]]),0)*IFERROR(--(ISNUMBER(SEARCH(S$1,Attendance[Attendees]))),0)*IFERROR(--(Attendance[Session Type]="Training"),0))&gt;0,"Y","")</f>
        <v/>
      </c>
      <c r="T23" s="286" t="str" cm="1">
        <f t="array" ref="T23">IF(SUMPRODUCT(IFERROR(--(INT(Attendance[Start time])=Training_Attendance[[#This Row],[Date]]),0)*IFERROR(--(ISNUMBER(SEARCH(T$1,Attendance[Attendees]))),0)*IFERROR(--(Attendance[Session Type]="Training"),0))&gt;0,"Y","")</f>
        <v/>
      </c>
      <c r="U23" s="286" t="str" cm="1">
        <f t="array" ref="U23">IF(SUMPRODUCT(IFERROR(--(INT(Attendance[Start time])=Training_Attendance[[#This Row],[Date]]),0)*IFERROR(--(ISNUMBER(SEARCH(U$1,Attendance[Attendees]))),0)*IFERROR(--(Attendance[Session Type]="Training"),0))&gt;0,"Y","")</f>
        <v/>
      </c>
      <c r="V23" s="286" t="str" cm="1">
        <f t="array" ref="V23">IF(SUMPRODUCT(IFERROR(--(INT(Attendance[Start time])=Training_Attendance[[#This Row],[Date]]),0)*IFERROR(--(ISNUMBER(SEARCH(V$1,Attendance[Attendees]))),0)*IFERROR(--(Attendance[Session Type]="Training"),0))&gt;0,"Y","")</f>
        <v/>
      </c>
      <c r="W23" s="286" t="str" cm="1">
        <f t="array" ref="W23">IF(SUMPRODUCT(IFERROR(--(INT(Attendance[Start time])=Training_Attendance[[#This Row],[Date]]),0)*IFERROR(--(ISNUMBER(SEARCH(W$1,Attendance[Attendees]))),0)*IFERROR(--(Attendance[Session Type]="Training"),0))&gt;0,"Y","")</f>
        <v/>
      </c>
      <c r="X23" s="286" t="str" cm="1">
        <f t="array" ref="X23">IF(SUMPRODUCT(IFERROR(--(INT(Attendance[Start time])=Training_Attendance[[#This Row],[Date]]),0)*IFERROR(--(ISNUMBER(SEARCH(X$1,Attendance[Attendees]))),0)*IFERROR(--(Attendance[Session Type]="Training"),0))&gt;0,"Y","")</f>
        <v/>
      </c>
      <c r="Y23" s="286" t="str" cm="1">
        <f t="array" ref="Y23">IF(SUMPRODUCT(IFERROR(--(INT(Attendance[Start time])=Training_Attendance[[#This Row],[Date]]),0)*IFERROR(--(ISNUMBER(SEARCH(Y$1,Attendance[Attendees]))),0)*IFERROR(--(Attendance[Session Type]="Training"),0))&gt;0,"Y","")</f>
        <v/>
      </c>
      <c r="Z23" s="286" t="str" cm="1">
        <f t="array" ref="Z23">IF(SUMPRODUCT(IFERROR(--(INT(Attendance[Start time])=Training_Attendance[[#This Row],[Date]]),0)*IFERROR(--(ISNUMBER(SEARCH(Z$1,Attendance[Attendees]))),0)*IFERROR(--(Attendance[Session Type]="Training"),0))&gt;0,"Y","")</f>
        <v/>
      </c>
      <c r="AA23" s="286" t="str" cm="1">
        <f t="array" ref="AA23">IF(SUMPRODUCT(IFERROR(--(INT(Attendance[Start time])=Training_Attendance[[#This Row],[Date]]),0)*IFERROR(--(ISNUMBER(SEARCH(AA$1,Attendance[Attendees]))),0)*IFERROR(--(Attendance[Session Type]="Training"),0))&gt;0,"Y","")</f>
        <v/>
      </c>
      <c r="AB23" s="286" t="str" cm="1">
        <f t="array" ref="AB23">IF(SUMPRODUCT(IFERROR(--(INT(Attendance[Start time])=Training_Attendance[[#This Row],[Date]]),0)*IFERROR(--(ISNUMBER(SEARCH(AB$1,Attendance[Attendees]))),0)*IFERROR(--(Attendance[Session Type]="Training"),0))&gt;0,"Y","")</f>
        <v/>
      </c>
      <c r="AC23" s="286" t="str" cm="1">
        <f t="array" ref="AC23">IF(SUMPRODUCT(IFERROR(--(INT(Attendance[Start time])=Training_Attendance[[#This Row],[Date]]),0)*IFERROR(--(ISNUMBER(SEARCH(AC$1,Attendance[Attendees]))),0)*IFERROR(--(Attendance[Session Type]="Training"),0))&gt;0,"Y","")</f>
        <v/>
      </c>
      <c r="AD23" s="265">
        <f>COUNTIF(Training_Attendance[[#This Row],[Alf M]:[Ronnie D]],"Y")</f>
        <v>0</v>
      </c>
    </row>
    <row r="24" spans="1:31" s="266" customFormat="1" ht="16" customHeight="1" x14ac:dyDescent="0.35">
      <c r="A24" s="225">
        <v>46421</v>
      </c>
      <c r="B24" s="220">
        <f>Training_Attendance[[#This Row],[Date]]</f>
        <v>46421</v>
      </c>
      <c r="C24" s="166" t="s">
        <v>84</v>
      </c>
      <c r="D24" s="286" t="str" cm="1">
        <f t="array" ref="D24">IF(SUMPRODUCT(IFERROR(--(INT(Attendance[Start time])=Training_Attendance[[#This Row],[Date]]),0)*IFERROR(--(ISNUMBER(SEARCH(D$1,Attendance[Attendees]))),0)*IFERROR(--(Attendance[Session Type]="Training"),0))&gt;0,"Y","")</f>
        <v>Y</v>
      </c>
      <c r="E24" s="286" t="str" cm="1">
        <f t="array" ref="E24">IF(SUMPRODUCT(IFERROR(--(INT(Attendance[Start time])=Training_Attendance[[#This Row],[Date]]),0)*IFERROR(--(ISNUMBER(SEARCH(E$1,Attendance[Attendees]))),0)*IFERROR(--(Attendance[Session Type]="Training"),0))&gt;0,"Y","")</f>
        <v/>
      </c>
      <c r="F24" s="286" t="str" cm="1">
        <f t="array" ref="F24">IF(SUMPRODUCT(IFERROR(--(INT(Attendance[Start time])=Training_Attendance[[#This Row],[Date]]),0)*IFERROR(--(ISNUMBER(SEARCH(F$1,Attendance[Attendees]))),0)*IFERROR(--(Attendance[Session Type]="Training"),0))&gt;0,"Y","")</f>
        <v/>
      </c>
      <c r="G24" s="286" t="str" cm="1">
        <f t="array" ref="G24">IF(SUMPRODUCT(IFERROR(--(INT(Attendance[Start time])=Training_Attendance[[#This Row],[Date]]),0)*IFERROR(--(ISNUMBER(SEARCH(G$1,Attendance[Attendees]))),0)*IFERROR(--(Attendance[Session Type]="Training"),0))&gt;0,"Y","")</f>
        <v/>
      </c>
      <c r="H24" s="286" t="str" cm="1">
        <f t="array" ref="H24">IF(SUMPRODUCT(IFERROR(--(INT(Attendance[Start time])=Training_Attendance[[#This Row],[Date]]),0)*IFERROR(--(ISNUMBER(SEARCH(H$1,Attendance[Attendees]))),0)*IFERROR(--(Attendance[Session Type]="Training"),0))&gt;0,"Y","")</f>
        <v/>
      </c>
      <c r="I24" s="286" t="str" cm="1">
        <f t="array" ref="I24">IF(SUMPRODUCT(IFERROR(--(INT(Attendance[Start time])=Training_Attendance[[#This Row],[Date]]),0)*IFERROR(--(ISNUMBER(SEARCH(I$1,Attendance[Attendees]))),0)*IFERROR(--(Attendance[Session Type]="Training"),0))&gt;0,"Y","")</f>
        <v>Y</v>
      </c>
      <c r="J24" s="286" t="str" cm="1">
        <f t="array" ref="J24">IF(SUMPRODUCT(IFERROR(--(INT(Attendance[Start time])=Training_Attendance[[#This Row],[Date]]),0)*IFERROR(--(ISNUMBER(SEARCH(J$1,Attendance[Attendees]))),0)*IFERROR(--(Attendance[Session Type]="Training"),0))&gt;0,"Y","")</f>
        <v/>
      </c>
      <c r="K24" s="286" t="str" cm="1">
        <f t="array" ref="K24">IF(SUMPRODUCT(IFERROR(--(INT(Attendance[Start time])=Training_Attendance[[#This Row],[Date]]),0)*IFERROR(--(ISNUMBER(SEARCH(K$1,Attendance[Attendees]))),0)*IFERROR(--(Attendance[Session Type]="Training"),0))&gt;0,"Y","")</f>
        <v/>
      </c>
      <c r="L24" s="286" t="str" cm="1">
        <f t="array" ref="L24">IF(SUMPRODUCT(IFERROR(--(INT(Attendance[Start time])=Training_Attendance[[#This Row],[Date]]),0)*IFERROR(--(ISNUMBER(SEARCH(L$1,Attendance[Attendees]))),0)*IFERROR(--(Attendance[Session Type]="Training"),0))&gt;0,"Y","")</f>
        <v/>
      </c>
      <c r="M24" s="286" t="str" cm="1">
        <f t="array" ref="M24">IF(SUMPRODUCT(IFERROR(--(INT(Attendance[Start time])=Training_Attendance[[#This Row],[Date]]),0)*IFERROR(--(ISNUMBER(SEARCH(M$1,Attendance[Attendees]))),0)*IFERROR(--(Attendance[Session Type]="Training"),0))&gt;0,"Y","")</f>
        <v>Y</v>
      </c>
      <c r="N24" s="286" t="str" cm="1">
        <f t="array" ref="N24">IF(SUMPRODUCT(IFERROR(--(INT(Attendance[Start time])=Training_Attendance[[#This Row],[Date]]),0)*IFERROR(--(ISNUMBER(SEARCH(N$1,Attendance[Attendees]))),0)*IFERROR(--(Attendance[Session Type]="Training"),0))&gt;0,"Y","")</f>
        <v/>
      </c>
      <c r="O24" s="286" t="str" cm="1">
        <f t="array" ref="O24">IF(SUMPRODUCT(IFERROR(--(INT(Attendance[Start time])=Training_Attendance[[#This Row],[Date]]),0)*IFERROR(--(ISNUMBER(SEARCH(O$1,Attendance[Attendees]))),0)*IFERROR(--(Attendance[Session Type]="Training"),0))&gt;0,"Y","")</f>
        <v/>
      </c>
      <c r="P24" s="286" t="str" cm="1">
        <f t="array" ref="P24">IF(SUMPRODUCT(IFERROR(--(INT(Attendance[Start time])=Training_Attendance[[#This Row],[Date]]),0)*IFERROR(--(ISNUMBER(SEARCH(P$1,Attendance[Attendees]))),0)*IFERROR(--(Attendance[Session Type]="Training"),0))&gt;0,"Y","")</f>
        <v/>
      </c>
      <c r="Q24" s="286" t="str" cm="1">
        <f t="array" ref="Q24">IF(SUMPRODUCT(IFERROR(--(INT(Attendance[Start time])=Training_Attendance[[#This Row],[Date]]),0)*IFERROR(--(ISNUMBER(SEARCH(Q$1,Attendance[Attendees]))),0)*IFERROR(--(Attendance[Session Type]="Training"),0))&gt;0,"Y","")</f>
        <v/>
      </c>
      <c r="R24" s="286" t="str" cm="1">
        <f t="array" ref="R24">IF(SUMPRODUCT(IFERROR(--(INT(Attendance[Start time])=Training_Attendance[[#This Row],[Date]]),0)*IFERROR(--(ISNUMBER(SEARCH(R$1,Attendance[Attendees]))),0)*IFERROR(--(Attendance[Session Type]="Training"),0))&gt;0,"Y","")</f>
        <v>Y</v>
      </c>
      <c r="S24" s="286" t="str" cm="1">
        <f t="array" ref="S24">IF(SUMPRODUCT(IFERROR(--(INT(Attendance[Start time])=Training_Attendance[[#This Row],[Date]]),0)*IFERROR(--(ISNUMBER(SEARCH(S$1,Attendance[Attendees]))),0)*IFERROR(--(Attendance[Session Type]="Training"),0))&gt;0,"Y","")</f>
        <v/>
      </c>
      <c r="T24" s="286" t="str" cm="1">
        <f t="array" ref="T24">IF(SUMPRODUCT(IFERROR(--(INT(Attendance[Start time])=Training_Attendance[[#This Row],[Date]]),0)*IFERROR(--(ISNUMBER(SEARCH(T$1,Attendance[Attendees]))),0)*IFERROR(--(Attendance[Session Type]="Training"),0))&gt;0,"Y","")</f>
        <v/>
      </c>
      <c r="U24" s="286" t="str" cm="1">
        <f t="array" ref="U24">IF(SUMPRODUCT(IFERROR(--(INT(Attendance[Start time])=Training_Attendance[[#This Row],[Date]]),0)*IFERROR(--(ISNUMBER(SEARCH(U$1,Attendance[Attendees]))),0)*IFERROR(--(Attendance[Session Type]="Training"),0))&gt;0,"Y","")</f>
        <v/>
      </c>
      <c r="V24" s="286" t="str" cm="1">
        <f t="array" ref="V24">IF(SUMPRODUCT(IFERROR(--(INT(Attendance[Start time])=Training_Attendance[[#This Row],[Date]]),0)*IFERROR(--(ISNUMBER(SEARCH(V$1,Attendance[Attendees]))),0)*IFERROR(--(Attendance[Session Type]="Training"),0))&gt;0,"Y","")</f>
        <v>Y</v>
      </c>
      <c r="W24" s="286" t="str" cm="1">
        <f t="array" ref="W24">IF(SUMPRODUCT(IFERROR(--(INT(Attendance[Start time])=Training_Attendance[[#This Row],[Date]]),0)*IFERROR(--(ISNUMBER(SEARCH(W$1,Attendance[Attendees]))),0)*IFERROR(--(Attendance[Session Type]="Training"),0))&gt;0,"Y","")</f>
        <v/>
      </c>
      <c r="X24" s="286" t="str" cm="1">
        <f t="array" ref="X24">IF(SUMPRODUCT(IFERROR(--(INT(Attendance[Start time])=Training_Attendance[[#This Row],[Date]]),0)*IFERROR(--(ISNUMBER(SEARCH(X$1,Attendance[Attendees]))),0)*IFERROR(--(Attendance[Session Type]="Training"),0))&gt;0,"Y","")</f>
        <v/>
      </c>
      <c r="Y24" s="286" t="str" cm="1">
        <f t="array" ref="Y24">IF(SUMPRODUCT(IFERROR(--(INT(Attendance[Start time])=Training_Attendance[[#This Row],[Date]]),0)*IFERROR(--(ISNUMBER(SEARCH(Y$1,Attendance[Attendees]))),0)*IFERROR(--(Attendance[Session Type]="Training"),0))&gt;0,"Y","")</f>
        <v/>
      </c>
      <c r="Z24" s="286" t="str" cm="1">
        <f t="array" ref="Z24">IF(SUMPRODUCT(IFERROR(--(INT(Attendance[Start time])=Training_Attendance[[#This Row],[Date]]),0)*IFERROR(--(ISNUMBER(SEARCH(Z$1,Attendance[Attendees]))),0)*IFERROR(--(Attendance[Session Type]="Training"),0))&gt;0,"Y","")</f>
        <v/>
      </c>
      <c r="AA24" s="286" t="str" cm="1">
        <f t="array" ref="AA24">IF(SUMPRODUCT(IFERROR(--(INT(Attendance[Start time])=Training_Attendance[[#This Row],[Date]]),0)*IFERROR(--(ISNUMBER(SEARCH(AA$1,Attendance[Attendees]))),0)*IFERROR(--(Attendance[Session Type]="Training"),0))&gt;0,"Y","")</f>
        <v/>
      </c>
      <c r="AB24" s="286" t="str" cm="1">
        <f t="array" ref="AB24">IF(SUMPRODUCT(IFERROR(--(INT(Attendance[Start time])=Training_Attendance[[#This Row],[Date]]),0)*IFERROR(--(ISNUMBER(SEARCH(AB$1,Attendance[Attendees]))),0)*IFERROR(--(Attendance[Session Type]="Training"),0))&gt;0,"Y","")</f>
        <v/>
      </c>
      <c r="AC24" s="286" t="str" cm="1">
        <f t="array" ref="AC24">IF(SUMPRODUCT(IFERROR(--(INT(Attendance[Start time])=Training_Attendance[[#This Row],[Date]]),0)*IFERROR(--(ISNUMBER(SEARCH(AC$1,Attendance[Attendees]))),0)*IFERROR(--(Attendance[Session Type]="Training"),0))&gt;0,"Y","")</f>
        <v/>
      </c>
      <c r="AD24" s="265">
        <f>COUNTIF(Training_Attendance[[#This Row],[Alf M]:[Ronnie D]],"Y")</f>
        <v>5</v>
      </c>
    </row>
    <row r="25" spans="1:31" s="266" customFormat="1" ht="16" customHeight="1" x14ac:dyDescent="0.35">
      <c r="A25" s="225">
        <v>46428</v>
      </c>
      <c r="B25" s="220">
        <f>Training_Attendance[[#This Row],[Date]]</f>
        <v>46428</v>
      </c>
      <c r="C25" s="166" t="s">
        <v>84</v>
      </c>
      <c r="D25" s="286" t="str" cm="1">
        <f t="array" ref="D25">IF(SUMPRODUCT(IFERROR(--(INT(Attendance[Start time])=Training_Attendance[[#This Row],[Date]]),0)*IFERROR(--(ISNUMBER(SEARCH(D$1,Attendance[Attendees]))),0)*IFERROR(--(Attendance[Session Type]="Training"),0))&gt;0,"Y","")</f>
        <v/>
      </c>
      <c r="E25" s="286" t="str" cm="1">
        <f t="array" ref="E25">IF(SUMPRODUCT(IFERROR(--(INT(Attendance[Start time])=Training_Attendance[[#This Row],[Date]]),0)*IFERROR(--(ISNUMBER(SEARCH(E$1,Attendance[Attendees]))),0)*IFERROR(--(Attendance[Session Type]="Training"),0))&gt;0,"Y","")</f>
        <v/>
      </c>
      <c r="F25" s="286" t="str" cm="1">
        <f t="array" ref="F25">IF(SUMPRODUCT(IFERROR(--(INT(Attendance[Start time])=Training_Attendance[[#This Row],[Date]]),0)*IFERROR(--(ISNUMBER(SEARCH(F$1,Attendance[Attendees]))),0)*IFERROR(--(Attendance[Session Type]="Training"),0))&gt;0,"Y","")</f>
        <v/>
      </c>
      <c r="G25" s="286" t="str" cm="1">
        <f t="array" ref="G25">IF(SUMPRODUCT(IFERROR(--(INT(Attendance[Start time])=Training_Attendance[[#This Row],[Date]]),0)*IFERROR(--(ISNUMBER(SEARCH(G$1,Attendance[Attendees]))),0)*IFERROR(--(Attendance[Session Type]="Training"),0))&gt;0,"Y","")</f>
        <v/>
      </c>
      <c r="H25" s="286" t="str" cm="1">
        <f t="array" ref="H25">IF(SUMPRODUCT(IFERROR(--(INT(Attendance[Start time])=Training_Attendance[[#This Row],[Date]]),0)*IFERROR(--(ISNUMBER(SEARCH(H$1,Attendance[Attendees]))),0)*IFERROR(--(Attendance[Session Type]="Training"),0))&gt;0,"Y","")</f>
        <v/>
      </c>
      <c r="I25" s="286" t="str" cm="1">
        <f t="array" ref="I25">IF(SUMPRODUCT(IFERROR(--(INT(Attendance[Start time])=Training_Attendance[[#This Row],[Date]]),0)*IFERROR(--(ISNUMBER(SEARCH(I$1,Attendance[Attendees]))),0)*IFERROR(--(Attendance[Session Type]="Training"),0))&gt;0,"Y","")</f>
        <v/>
      </c>
      <c r="J25" s="286" t="str" cm="1">
        <f t="array" ref="J25">IF(SUMPRODUCT(IFERROR(--(INT(Attendance[Start time])=Training_Attendance[[#This Row],[Date]]),0)*IFERROR(--(ISNUMBER(SEARCH(J$1,Attendance[Attendees]))),0)*IFERROR(--(Attendance[Session Type]="Training"),0))&gt;0,"Y","")</f>
        <v/>
      </c>
      <c r="K25" s="286" t="str" cm="1">
        <f t="array" ref="K25">IF(SUMPRODUCT(IFERROR(--(INT(Attendance[Start time])=Training_Attendance[[#This Row],[Date]]),0)*IFERROR(--(ISNUMBER(SEARCH(K$1,Attendance[Attendees]))),0)*IFERROR(--(Attendance[Session Type]="Training"),0))&gt;0,"Y","")</f>
        <v/>
      </c>
      <c r="L25" s="286" t="str" cm="1">
        <f t="array" ref="L25">IF(SUMPRODUCT(IFERROR(--(INT(Attendance[Start time])=Training_Attendance[[#This Row],[Date]]),0)*IFERROR(--(ISNUMBER(SEARCH(L$1,Attendance[Attendees]))),0)*IFERROR(--(Attendance[Session Type]="Training"),0))&gt;0,"Y","")</f>
        <v/>
      </c>
      <c r="M25" s="286" t="str" cm="1">
        <f t="array" ref="M25">IF(SUMPRODUCT(IFERROR(--(INT(Attendance[Start time])=Training_Attendance[[#This Row],[Date]]),0)*IFERROR(--(ISNUMBER(SEARCH(M$1,Attendance[Attendees]))),0)*IFERROR(--(Attendance[Session Type]="Training"),0))&gt;0,"Y","")</f>
        <v/>
      </c>
      <c r="N25" s="286" t="str" cm="1">
        <f t="array" ref="N25">IF(SUMPRODUCT(IFERROR(--(INT(Attendance[Start time])=Training_Attendance[[#This Row],[Date]]),0)*IFERROR(--(ISNUMBER(SEARCH(N$1,Attendance[Attendees]))),0)*IFERROR(--(Attendance[Session Type]="Training"),0))&gt;0,"Y","")</f>
        <v/>
      </c>
      <c r="O25" s="286" t="str" cm="1">
        <f t="array" ref="O25">IF(SUMPRODUCT(IFERROR(--(INT(Attendance[Start time])=Training_Attendance[[#This Row],[Date]]),0)*IFERROR(--(ISNUMBER(SEARCH(O$1,Attendance[Attendees]))),0)*IFERROR(--(Attendance[Session Type]="Training"),0))&gt;0,"Y","")</f>
        <v/>
      </c>
      <c r="P25" s="286" t="str" cm="1">
        <f t="array" ref="P25">IF(SUMPRODUCT(IFERROR(--(INT(Attendance[Start time])=Training_Attendance[[#This Row],[Date]]),0)*IFERROR(--(ISNUMBER(SEARCH(P$1,Attendance[Attendees]))),0)*IFERROR(--(Attendance[Session Type]="Training"),0))&gt;0,"Y","")</f>
        <v/>
      </c>
      <c r="Q25" s="286" t="str" cm="1">
        <f t="array" ref="Q25">IF(SUMPRODUCT(IFERROR(--(INT(Attendance[Start time])=Training_Attendance[[#This Row],[Date]]),0)*IFERROR(--(ISNUMBER(SEARCH(Q$1,Attendance[Attendees]))),0)*IFERROR(--(Attendance[Session Type]="Training"),0))&gt;0,"Y","")</f>
        <v/>
      </c>
      <c r="R25" s="286" t="str" cm="1">
        <f t="array" ref="R25">IF(SUMPRODUCT(IFERROR(--(INT(Attendance[Start time])=Training_Attendance[[#This Row],[Date]]),0)*IFERROR(--(ISNUMBER(SEARCH(R$1,Attendance[Attendees]))),0)*IFERROR(--(Attendance[Session Type]="Training"),0))&gt;0,"Y","")</f>
        <v/>
      </c>
      <c r="S25" s="286" t="str" cm="1">
        <f t="array" ref="S25">IF(SUMPRODUCT(IFERROR(--(INT(Attendance[Start time])=Training_Attendance[[#This Row],[Date]]),0)*IFERROR(--(ISNUMBER(SEARCH(S$1,Attendance[Attendees]))),0)*IFERROR(--(Attendance[Session Type]="Training"),0))&gt;0,"Y","")</f>
        <v/>
      </c>
      <c r="T25" s="286" t="str" cm="1">
        <f t="array" ref="T25">IF(SUMPRODUCT(IFERROR(--(INT(Attendance[Start time])=Training_Attendance[[#This Row],[Date]]),0)*IFERROR(--(ISNUMBER(SEARCH(T$1,Attendance[Attendees]))),0)*IFERROR(--(Attendance[Session Type]="Training"),0))&gt;0,"Y","")</f>
        <v/>
      </c>
      <c r="U25" s="286" t="str" cm="1">
        <f t="array" ref="U25">IF(SUMPRODUCT(IFERROR(--(INT(Attendance[Start time])=Training_Attendance[[#This Row],[Date]]),0)*IFERROR(--(ISNUMBER(SEARCH(U$1,Attendance[Attendees]))),0)*IFERROR(--(Attendance[Session Type]="Training"),0))&gt;0,"Y","")</f>
        <v/>
      </c>
      <c r="V25" s="286" t="str" cm="1">
        <f t="array" ref="V25">IF(SUMPRODUCT(IFERROR(--(INT(Attendance[Start time])=Training_Attendance[[#This Row],[Date]]),0)*IFERROR(--(ISNUMBER(SEARCH(V$1,Attendance[Attendees]))),0)*IFERROR(--(Attendance[Session Type]="Training"),0))&gt;0,"Y","")</f>
        <v/>
      </c>
      <c r="W25" s="286" t="str" cm="1">
        <f t="array" ref="W25">IF(SUMPRODUCT(IFERROR(--(INT(Attendance[Start time])=Training_Attendance[[#This Row],[Date]]),0)*IFERROR(--(ISNUMBER(SEARCH(W$1,Attendance[Attendees]))),0)*IFERROR(--(Attendance[Session Type]="Training"),0))&gt;0,"Y","")</f>
        <v/>
      </c>
      <c r="X25" s="286" t="str" cm="1">
        <f t="array" ref="X25">IF(SUMPRODUCT(IFERROR(--(INT(Attendance[Start time])=Training_Attendance[[#This Row],[Date]]),0)*IFERROR(--(ISNUMBER(SEARCH(X$1,Attendance[Attendees]))),0)*IFERROR(--(Attendance[Session Type]="Training"),0))&gt;0,"Y","")</f>
        <v/>
      </c>
      <c r="Y25" s="286" t="str" cm="1">
        <f t="array" ref="Y25">IF(SUMPRODUCT(IFERROR(--(INT(Attendance[Start time])=Training_Attendance[[#This Row],[Date]]),0)*IFERROR(--(ISNUMBER(SEARCH(Y$1,Attendance[Attendees]))),0)*IFERROR(--(Attendance[Session Type]="Training"),0))&gt;0,"Y","")</f>
        <v/>
      </c>
      <c r="Z25" s="286" t="str" cm="1">
        <f t="array" ref="Z25">IF(SUMPRODUCT(IFERROR(--(INT(Attendance[Start time])=Training_Attendance[[#This Row],[Date]]),0)*IFERROR(--(ISNUMBER(SEARCH(Z$1,Attendance[Attendees]))),0)*IFERROR(--(Attendance[Session Type]="Training"),0))&gt;0,"Y","")</f>
        <v/>
      </c>
      <c r="AA25" s="286" t="str" cm="1">
        <f t="array" ref="AA25">IF(SUMPRODUCT(IFERROR(--(INT(Attendance[Start time])=Training_Attendance[[#This Row],[Date]]),0)*IFERROR(--(ISNUMBER(SEARCH(AA$1,Attendance[Attendees]))),0)*IFERROR(--(Attendance[Session Type]="Training"),0))&gt;0,"Y","")</f>
        <v/>
      </c>
      <c r="AB25" s="286" t="str" cm="1">
        <f t="array" ref="AB25">IF(SUMPRODUCT(IFERROR(--(INT(Attendance[Start time])=Training_Attendance[[#This Row],[Date]]),0)*IFERROR(--(ISNUMBER(SEARCH(AB$1,Attendance[Attendees]))),0)*IFERROR(--(Attendance[Session Type]="Training"),0))&gt;0,"Y","")</f>
        <v/>
      </c>
      <c r="AC25" s="286" t="str" cm="1">
        <f t="array" ref="AC25">IF(SUMPRODUCT(IFERROR(--(INT(Attendance[Start time])=Training_Attendance[[#This Row],[Date]]),0)*IFERROR(--(ISNUMBER(SEARCH(AC$1,Attendance[Attendees]))),0)*IFERROR(--(Attendance[Session Type]="Training"),0))&gt;0,"Y","")</f>
        <v/>
      </c>
      <c r="AD25" s="265">
        <f>COUNTIF(Training_Attendance[[#This Row],[Alf M]:[Ronnie D]],"Y")</f>
        <v>0</v>
      </c>
    </row>
    <row r="26" spans="1:31" s="266" customFormat="1" ht="16" customHeight="1" x14ac:dyDescent="0.35">
      <c r="A26" s="225">
        <v>46435</v>
      </c>
      <c r="B26" s="220">
        <f>Training_Attendance[[#This Row],[Date]]</f>
        <v>46435</v>
      </c>
      <c r="C26" s="166" t="s">
        <v>84</v>
      </c>
      <c r="D26" s="286" t="str" cm="1">
        <f t="array" ref="D26">IF(SUMPRODUCT(IFERROR(--(INT(Attendance[Start time])=Training_Attendance[[#This Row],[Date]]),0)*IFERROR(--(ISNUMBER(SEARCH(D$1,Attendance[Attendees]))),0)*IFERROR(--(Attendance[Session Type]="Training"),0))&gt;0,"Y","")</f>
        <v/>
      </c>
      <c r="E26" s="286" t="str" cm="1">
        <f t="array" ref="E26">IF(SUMPRODUCT(IFERROR(--(INT(Attendance[Start time])=Training_Attendance[[#This Row],[Date]]),0)*IFERROR(--(ISNUMBER(SEARCH(E$1,Attendance[Attendees]))),0)*IFERROR(--(Attendance[Session Type]="Training"),0))&gt;0,"Y","")</f>
        <v/>
      </c>
      <c r="F26" s="286" t="str" cm="1">
        <f t="array" ref="F26">IF(SUMPRODUCT(IFERROR(--(INT(Attendance[Start time])=Training_Attendance[[#This Row],[Date]]),0)*IFERROR(--(ISNUMBER(SEARCH(F$1,Attendance[Attendees]))),0)*IFERROR(--(Attendance[Session Type]="Training"),0))&gt;0,"Y","")</f>
        <v/>
      </c>
      <c r="G26" s="286" t="str" cm="1">
        <f t="array" ref="G26">IF(SUMPRODUCT(IFERROR(--(INT(Attendance[Start time])=Training_Attendance[[#This Row],[Date]]),0)*IFERROR(--(ISNUMBER(SEARCH(G$1,Attendance[Attendees]))),0)*IFERROR(--(Attendance[Session Type]="Training"),0))&gt;0,"Y","")</f>
        <v/>
      </c>
      <c r="H26" s="286" t="str" cm="1">
        <f t="array" ref="H26">IF(SUMPRODUCT(IFERROR(--(INT(Attendance[Start time])=Training_Attendance[[#This Row],[Date]]),0)*IFERROR(--(ISNUMBER(SEARCH(H$1,Attendance[Attendees]))),0)*IFERROR(--(Attendance[Session Type]="Training"),0))&gt;0,"Y","")</f>
        <v/>
      </c>
      <c r="I26" s="286" t="str" cm="1">
        <f t="array" ref="I26">IF(SUMPRODUCT(IFERROR(--(INT(Attendance[Start time])=Training_Attendance[[#This Row],[Date]]),0)*IFERROR(--(ISNUMBER(SEARCH(I$1,Attendance[Attendees]))),0)*IFERROR(--(Attendance[Session Type]="Training"),0))&gt;0,"Y","")</f>
        <v/>
      </c>
      <c r="J26" s="286" t="str" cm="1">
        <f t="array" ref="J26">IF(SUMPRODUCT(IFERROR(--(INT(Attendance[Start time])=Training_Attendance[[#This Row],[Date]]),0)*IFERROR(--(ISNUMBER(SEARCH(J$1,Attendance[Attendees]))),0)*IFERROR(--(Attendance[Session Type]="Training"),0))&gt;0,"Y","")</f>
        <v/>
      </c>
      <c r="K26" s="286" t="str" cm="1">
        <f t="array" ref="K26">IF(SUMPRODUCT(IFERROR(--(INT(Attendance[Start time])=Training_Attendance[[#This Row],[Date]]),0)*IFERROR(--(ISNUMBER(SEARCH(K$1,Attendance[Attendees]))),0)*IFERROR(--(Attendance[Session Type]="Training"),0))&gt;0,"Y","")</f>
        <v/>
      </c>
      <c r="L26" s="286" t="str" cm="1">
        <f t="array" ref="L26">IF(SUMPRODUCT(IFERROR(--(INT(Attendance[Start time])=Training_Attendance[[#This Row],[Date]]),0)*IFERROR(--(ISNUMBER(SEARCH(L$1,Attendance[Attendees]))),0)*IFERROR(--(Attendance[Session Type]="Training"),0))&gt;0,"Y","")</f>
        <v/>
      </c>
      <c r="M26" s="286" t="str" cm="1">
        <f t="array" ref="M26">IF(SUMPRODUCT(IFERROR(--(INT(Attendance[Start time])=Training_Attendance[[#This Row],[Date]]),0)*IFERROR(--(ISNUMBER(SEARCH(M$1,Attendance[Attendees]))),0)*IFERROR(--(Attendance[Session Type]="Training"),0))&gt;0,"Y","")</f>
        <v/>
      </c>
      <c r="N26" s="286" t="str" cm="1">
        <f t="array" ref="N26">IF(SUMPRODUCT(IFERROR(--(INT(Attendance[Start time])=Training_Attendance[[#This Row],[Date]]),0)*IFERROR(--(ISNUMBER(SEARCH(N$1,Attendance[Attendees]))),0)*IFERROR(--(Attendance[Session Type]="Training"),0))&gt;0,"Y","")</f>
        <v/>
      </c>
      <c r="O26" s="286" t="str" cm="1">
        <f t="array" ref="O26">IF(SUMPRODUCT(IFERROR(--(INT(Attendance[Start time])=Training_Attendance[[#This Row],[Date]]),0)*IFERROR(--(ISNUMBER(SEARCH(O$1,Attendance[Attendees]))),0)*IFERROR(--(Attendance[Session Type]="Training"),0))&gt;0,"Y","")</f>
        <v/>
      </c>
      <c r="P26" s="286" t="str" cm="1">
        <f t="array" ref="P26">IF(SUMPRODUCT(IFERROR(--(INT(Attendance[Start time])=Training_Attendance[[#This Row],[Date]]),0)*IFERROR(--(ISNUMBER(SEARCH(P$1,Attendance[Attendees]))),0)*IFERROR(--(Attendance[Session Type]="Training"),0))&gt;0,"Y","")</f>
        <v/>
      </c>
      <c r="Q26" s="286" t="str" cm="1">
        <f t="array" ref="Q26">IF(SUMPRODUCT(IFERROR(--(INT(Attendance[Start time])=Training_Attendance[[#This Row],[Date]]),0)*IFERROR(--(ISNUMBER(SEARCH(Q$1,Attendance[Attendees]))),0)*IFERROR(--(Attendance[Session Type]="Training"),0))&gt;0,"Y","")</f>
        <v/>
      </c>
      <c r="R26" s="286" t="str" cm="1">
        <f t="array" ref="R26">IF(SUMPRODUCT(IFERROR(--(INT(Attendance[Start time])=Training_Attendance[[#This Row],[Date]]),0)*IFERROR(--(ISNUMBER(SEARCH(R$1,Attendance[Attendees]))),0)*IFERROR(--(Attendance[Session Type]="Training"),0))&gt;0,"Y","")</f>
        <v/>
      </c>
      <c r="S26" s="286" t="str" cm="1">
        <f t="array" ref="S26">IF(SUMPRODUCT(IFERROR(--(INT(Attendance[Start time])=Training_Attendance[[#This Row],[Date]]),0)*IFERROR(--(ISNUMBER(SEARCH(S$1,Attendance[Attendees]))),0)*IFERROR(--(Attendance[Session Type]="Training"),0))&gt;0,"Y","")</f>
        <v/>
      </c>
      <c r="T26" s="286" t="str" cm="1">
        <f t="array" ref="T26">IF(SUMPRODUCT(IFERROR(--(INT(Attendance[Start time])=Training_Attendance[[#This Row],[Date]]),0)*IFERROR(--(ISNUMBER(SEARCH(T$1,Attendance[Attendees]))),0)*IFERROR(--(Attendance[Session Type]="Training"),0))&gt;0,"Y","")</f>
        <v/>
      </c>
      <c r="U26" s="286" t="str" cm="1">
        <f t="array" ref="U26">IF(SUMPRODUCT(IFERROR(--(INT(Attendance[Start time])=Training_Attendance[[#This Row],[Date]]),0)*IFERROR(--(ISNUMBER(SEARCH(U$1,Attendance[Attendees]))),0)*IFERROR(--(Attendance[Session Type]="Training"),0))&gt;0,"Y","")</f>
        <v/>
      </c>
      <c r="V26" s="286" t="str" cm="1">
        <f t="array" ref="V26">IF(SUMPRODUCT(IFERROR(--(INT(Attendance[Start time])=Training_Attendance[[#This Row],[Date]]),0)*IFERROR(--(ISNUMBER(SEARCH(V$1,Attendance[Attendees]))),0)*IFERROR(--(Attendance[Session Type]="Training"),0))&gt;0,"Y","")</f>
        <v/>
      </c>
      <c r="W26" s="286" t="str" cm="1">
        <f t="array" ref="W26">IF(SUMPRODUCT(IFERROR(--(INT(Attendance[Start time])=Training_Attendance[[#This Row],[Date]]),0)*IFERROR(--(ISNUMBER(SEARCH(W$1,Attendance[Attendees]))),0)*IFERROR(--(Attendance[Session Type]="Training"),0))&gt;0,"Y","")</f>
        <v/>
      </c>
      <c r="X26" s="286" t="str" cm="1">
        <f t="array" ref="X26">IF(SUMPRODUCT(IFERROR(--(INT(Attendance[Start time])=Training_Attendance[[#This Row],[Date]]),0)*IFERROR(--(ISNUMBER(SEARCH(X$1,Attendance[Attendees]))),0)*IFERROR(--(Attendance[Session Type]="Training"),0))&gt;0,"Y","")</f>
        <v/>
      </c>
      <c r="Y26" s="286" t="str" cm="1">
        <f t="array" ref="Y26">IF(SUMPRODUCT(IFERROR(--(INT(Attendance[Start time])=Training_Attendance[[#This Row],[Date]]),0)*IFERROR(--(ISNUMBER(SEARCH(Y$1,Attendance[Attendees]))),0)*IFERROR(--(Attendance[Session Type]="Training"),0))&gt;0,"Y","")</f>
        <v/>
      </c>
      <c r="Z26" s="286" t="str" cm="1">
        <f t="array" ref="Z26">IF(SUMPRODUCT(IFERROR(--(INT(Attendance[Start time])=Training_Attendance[[#This Row],[Date]]),0)*IFERROR(--(ISNUMBER(SEARCH(Z$1,Attendance[Attendees]))),0)*IFERROR(--(Attendance[Session Type]="Training"),0))&gt;0,"Y","")</f>
        <v/>
      </c>
      <c r="AA26" s="286" t="str" cm="1">
        <f t="array" ref="AA26">IF(SUMPRODUCT(IFERROR(--(INT(Attendance[Start time])=Training_Attendance[[#This Row],[Date]]),0)*IFERROR(--(ISNUMBER(SEARCH(AA$1,Attendance[Attendees]))),0)*IFERROR(--(Attendance[Session Type]="Training"),0))&gt;0,"Y","")</f>
        <v/>
      </c>
      <c r="AB26" s="286" t="str" cm="1">
        <f t="array" ref="AB26">IF(SUMPRODUCT(IFERROR(--(INT(Attendance[Start time])=Training_Attendance[[#This Row],[Date]]),0)*IFERROR(--(ISNUMBER(SEARCH(AB$1,Attendance[Attendees]))),0)*IFERROR(--(Attendance[Session Type]="Training"),0))&gt;0,"Y","")</f>
        <v/>
      </c>
      <c r="AC26" s="286" t="str" cm="1">
        <f t="array" ref="AC26">IF(SUMPRODUCT(IFERROR(--(INT(Attendance[Start time])=Training_Attendance[[#This Row],[Date]]),0)*IFERROR(--(ISNUMBER(SEARCH(AC$1,Attendance[Attendees]))),0)*IFERROR(--(Attendance[Session Type]="Training"),0))&gt;0,"Y","")</f>
        <v/>
      </c>
      <c r="AD26" s="265">
        <f>COUNTIF(Training_Attendance[[#This Row],[Alf M]:[Ronnie D]],"Y")</f>
        <v>0</v>
      </c>
    </row>
    <row r="27" spans="1:31" ht="16" customHeight="1" x14ac:dyDescent="0.35">
      <c r="A27" s="225">
        <v>46442</v>
      </c>
      <c r="B27" s="220">
        <f>Training_Attendance[[#This Row],[Date]]</f>
        <v>46442</v>
      </c>
      <c r="C27" s="166" t="s">
        <v>84</v>
      </c>
      <c r="D27" s="286" t="str" cm="1">
        <f t="array" ref="D27">IF(SUMPRODUCT(IFERROR(--(INT(Attendance[Start time])=Training_Attendance[[#This Row],[Date]]),0)*IFERROR(--(ISNUMBER(SEARCH(D$1,Attendance[Attendees]))),0)*IFERROR(--(Attendance[Session Type]="Training"),0))&gt;0,"Y","")</f>
        <v/>
      </c>
      <c r="E27" s="286" t="str" cm="1">
        <f t="array" ref="E27">IF(SUMPRODUCT(IFERROR(--(INT(Attendance[Start time])=Training_Attendance[[#This Row],[Date]]),0)*IFERROR(--(ISNUMBER(SEARCH(E$1,Attendance[Attendees]))),0)*IFERROR(--(Attendance[Session Type]="Training"),0))&gt;0,"Y","")</f>
        <v/>
      </c>
      <c r="F27" s="286" t="str" cm="1">
        <f t="array" ref="F27">IF(SUMPRODUCT(IFERROR(--(INT(Attendance[Start time])=Training_Attendance[[#This Row],[Date]]),0)*IFERROR(--(ISNUMBER(SEARCH(F$1,Attendance[Attendees]))),0)*IFERROR(--(Attendance[Session Type]="Training"),0))&gt;0,"Y","")</f>
        <v/>
      </c>
      <c r="G27" s="286" t="str" cm="1">
        <f t="array" ref="G27">IF(SUMPRODUCT(IFERROR(--(INT(Attendance[Start time])=Training_Attendance[[#This Row],[Date]]),0)*IFERROR(--(ISNUMBER(SEARCH(G$1,Attendance[Attendees]))),0)*IFERROR(--(Attendance[Session Type]="Training"),0))&gt;0,"Y","")</f>
        <v/>
      </c>
      <c r="H27" s="286" t="str" cm="1">
        <f t="array" ref="H27">IF(SUMPRODUCT(IFERROR(--(INT(Attendance[Start time])=Training_Attendance[[#This Row],[Date]]),0)*IFERROR(--(ISNUMBER(SEARCH(H$1,Attendance[Attendees]))),0)*IFERROR(--(Attendance[Session Type]="Training"),0))&gt;0,"Y","")</f>
        <v/>
      </c>
      <c r="I27" s="286" t="str" cm="1">
        <f t="array" ref="I27">IF(SUMPRODUCT(IFERROR(--(INT(Attendance[Start time])=Training_Attendance[[#This Row],[Date]]),0)*IFERROR(--(ISNUMBER(SEARCH(I$1,Attendance[Attendees]))),0)*IFERROR(--(Attendance[Session Type]="Training"),0))&gt;0,"Y","")</f>
        <v/>
      </c>
      <c r="J27" s="286" t="str" cm="1">
        <f t="array" ref="J27">IF(SUMPRODUCT(IFERROR(--(INT(Attendance[Start time])=Training_Attendance[[#This Row],[Date]]),0)*IFERROR(--(ISNUMBER(SEARCH(J$1,Attendance[Attendees]))),0)*IFERROR(--(Attendance[Session Type]="Training"),0))&gt;0,"Y","")</f>
        <v/>
      </c>
      <c r="K27" s="286" t="str" cm="1">
        <f t="array" ref="K27">IF(SUMPRODUCT(IFERROR(--(INT(Attendance[Start time])=Training_Attendance[[#This Row],[Date]]),0)*IFERROR(--(ISNUMBER(SEARCH(K$1,Attendance[Attendees]))),0)*IFERROR(--(Attendance[Session Type]="Training"),0))&gt;0,"Y","")</f>
        <v/>
      </c>
      <c r="L27" s="286" t="str" cm="1">
        <f t="array" ref="L27">IF(SUMPRODUCT(IFERROR(--(INT(Attendance[Start time])=Training_Attendance[[#This Row],[Date]]),0)*IFERROR(--(ISNUMBER(SEARCH(L$1,Attendance[Attendees]))),0)*IFERROR(--(Attendance[Session Type]="Training"),0))&gt;0,"Y","")</f>
        <v/>
      </c>
      <c r="M27" s="286" t="str" cm="1">
        <f t="array" ref="M27">IF(SUMPRODUCT(IFERROR(--(INT(Attendance[Start time])=Training_Attendance[[#This Row],[Date]]),0)*IFERROR(--(ISNUMBER(SEARCH(M$1,Attendance[Attendees]))),0)*IFERROR(--(Attendance[Session Type]="Training"),0))&gt;0,"Y","")</f>
        <v/>
      </c>
      <c r="N27" s="286" t="str" cm="1">
        <f t="array" ref="N27">IF(SUMPRODUCT(IFERROR(--(INT(Attendance[Start time])=Training_Attendance[[#This Row],[Date]]),0)*IFERROR(--(ISNUMBER(SEARCH(N$1,Attendance[Attendees]))),0)*IFERROR(--(Attendance[Session Type]="Training"),0))&gt;0,"Y","")</f>
        <v/>
      </c>
      <c r="O27" s="286" t="str" cm="1">
        <f t="array" ref="O27">IF(SUMPRODUCT(IFERROR(--(INT(Attendance[Start time])=Training_Attendance[[#This Row],[Date]]),0)*IFERROR(--(ISNUMBER(SEARCH(O$1,Attendance[Attendees]))),0)*IFERROR(--(Attendance[Session Type]="Training"),0))&gt;0,"Y","")</f>
        <v/>
      </c>
      <c r="P27" s="286" t="str" cm="1">
        <f t="array" ref="P27">IF(SUMPRODUCT(IFERROR(--(INT(Attendance[Start time])=Training_Attendance[[#This Row],[Date]]),0)*IFERROR(--(ISNUMBER(SEARCH(P$1,Attendance[Attendees]))),0)*IFERROR(--(Attendance[Session Type]="Training"),0))&gt;0,"Y","")</f>
        <v/>
      </c>
      <c r="Q27" s="286" t="str" cm="1">
        <f t="array" ref="Q27">IF(SUMPRODUCT(IFERROR(--(INT(Attendance[Start time])=Training_Attendance[[#This Row],[Date]]),0)*IFERROR(--(ISNUMBER(SEARCH(Q$1,Attendance[Attendees]))),0)*IFERROR(--(Attendance[Session Type]="Training"),0))&gt;0,"Y","")</f>
        <v/>
      </c>
      <c r="R27" s="286" t="str" cm="1">
        <f t="array" ref="R27">IF(SUMPRODUCT(IFERROR(--(INT(Attendance[Start time])=Training_Attendance[[#This Row],[Date]]),0)*IFERROR(--(ISNUMBER(SEARCH(R$1,Attendance[Attendees]))),0)*IFERROR(--(Attendance[Session Type]="Training"),0))&gt;0,"Y","")</f>
        <v/>
      </c>
      <c r="S27" s="286" t="str" cm="1">
        <f t="array" ref="S27">IF(SUMPRODUCT(IFERROR(--(INT(Attendance[Start time])=Training_Attendance[[#This Row],[Date]]),0)*IFERROR(--(ISNUMBER(SEARCH(S$1,Attendance[Attendees]))),0)*IFERROR(--(Attendance[Session Type]="Training"),0))&gt;0,"Y","")</f>
        <v/>
      </c>
      <c r="T27" s="286" t="str" cm="1">
        <f t="array" ref="T27">IF(SUMPRODUCT(IFERROR(--(INT(Attendance[Start time])=Training_Attendance[[#This Row],[Date]]),0)*IFERROR(--(ISNUMBER(SEARCH(T$1,Attendance[Attendees]))),0)*IFERROR(--(Attendance[Session Type]="Training"),0))&gt;0,"Y","")</f>
        <v/>
      </c>
      <c r="U27" s="286" t="str" cm="1">
        <f t="array" ref="U27">IF(SUMPRODUCT(IFERROR(--(INT(Attendance[Start time])=Training_Attendance[[#This Row],[Date]]),0)*IFERROR(--(ISNUMBER(SEARCH(U$1,Attendance[Attendees]))),0)*IFERROR(--(Attendance[Session Type]="Training"),0))&gt;0,"Y","")</f>
        <v/>
      </c>
      <c r="V27" s="286" t="str" cm="1">
        <f t="array" ref="V27">IF(SUMPRODUCT(IFERROR(--(INT(Attendance[Start time])=Training_Attendance[[#This Row],[Date]]),0)*IFERROR(--(ISNUMBER(SEARCH(V$1,Attendance[Attendees]))),0)*IFERROR(--(Attendance[Session Type]="Training"),0))&gt;0,"Y","")</f>
        <v/>
      </c>
      <c r="W27" s="286" t="str" cm="1">
        <f t="array" ref="W27">IF(SUMPRODUCT(IFERROR(--(INT(Attendance[Start time])=Training_Attendance[[#This Row],[Date]]),0)*IFERROR(--(ISNUMBER(SEARCH(W$1,Attendance[Attendees]))),0)*IFERROR(--(Attendance[Session Type]="Training"),0))&gt;0,"Y","")</f>
        <v/>
      </c>
      <c r="X27" s="286" t="str" cm="1">
        <f t="array" ref="X27">IF(SUMPRODUCT(IFERROR(--(INT(Attendance[Start time])=Training_Attendance[[#This Row],[Date]]),0)*IFERROR(--(ISNUMBER(SEARCH(X$1,Attendance[Attendees]))),0)*IFERROR(--(Attendance[Session Type]="Training"),0))&gt;0,"Y","")</f>
        <v/>
      </c>
      <c r="Y27" s="286" t="str" cm="1">
        <f t="array" ref="Y27">IF(SUMPRODUCT(IFERROR(--(INT(Attendance[Start time])=Training_Attendance[[#This Row],[Date]]),0)*IFERROR(--(ISNUMBER(SEARCH(Y$1,Attendance[Attendees]))),0)*IFERROR(--(Attendance[Session Type]="Training"),0))&gt;0,"Y","")</f>
        <v/>
      </c>
      <c r="Z27" s="286" t="str" cm="1">
        <f t="array" ref="Z27">IF(SUMPRODUCT(IFERROR(--(INT(Attendance[Start time])=Training_Attendance[[#This Row],[Date]]),0)*IFERROR(--(ISNUMBER(SEARCH(Z$1,Attendance[Attendees]))),0)*IFERROR(--(Attendance[Session Type]="Training"),0))&gt;0,"Y","")</f>
        <v/>
      </c>
      <c r="AA27" s="286" t="str" cm="1">
        <f t="array" ref="AA27">IF(SUMPRODUCT(IFERROR(--(INT(Attendance[Start time])=Training_Attendance[[#This Row],[Date]]),0)*IFERROR(--(ISNUMBER(SEARCH(AA$1,Attendance[Attendees]))),0)*IFERROR(--(Attendance[Session Type]="Training"),0))&gt;0,"Y","")</f>
        <v/>
      </c>
      <c r="AB27" s="286" t="str" cm="1">
        <f t="array" ref="AB27">IF(SUMPRODUCT(IFERROR(--(INT(Attendance[Start time])=Training_Attendance[[#This Row],[Date]]),0)*IFERROR(--(ISNUMBER(SEARCH(AB$1,Attendance[Attendees]))),0)*IFERROR(--(Attendance[Session Type]="Training"),0))&gt;0,"Y","")</f>
        <v/>
      </c>
      <c r="AC27" s="286" t="str" cm="1">
        <f t="array" ref="AC27">IF(SUMPRODUCT(IFERROR(--(INT(Attendance[Start time])=Training_Attendance[[#This Row],[Date]]),0)*IFERROR(--(ISNUMBER(SEARCH(AC$1,Attendance[Attendees]))),0)*IFERROR(--(Attendance[Session Type]="Training"),0))&gt;0,"Y","")</f>
        <v/>
      </c>
      <c r="AD27" s="265">
        <f>COUNTIF(Training_Attendance[[#This Row],[Alf M]:[Ronnie D]],"Y")</f>
        <v>0</v>
      </c>
      <c r="AE27" s="166"/>
    </row>
    <row r="28" spans="1:31" ht="16" customHeight="1" x14ac:dyDescent="0.35">
      <c r="A28" s="225">
        <v>46449</v>
      </c>
      <c r="B28" s="220">
        <f>Training_Attendance[[#This Row],[Date]]</f>
        <v>46449</v>
      </c>
      <c r="C28" s="166" t="s">
        <v>84</v>
      </c>
      <c r="D28" s="286" t="str" cm="1">
        <f t="array" ref="D28">IF(SUMPRODUCT(IFERROR(--(INT(Attendance[Start time])=Training_Attendance[[#This Row],[Date]]),0)*IFERROR(--(ISNUMBER(SEARCH(D$1,Attendance[Attendees]))),0)*IFERROR(--(Attendance[Session Type]="Training"),0))&gt;0,"Y","")</f>
        <v/>
      </c>
      <c r="E28" s="286" t="str" cm="1">
        <f t="array" ref="E28">IF(SUMPRODUCT(IFERROR(--(INT(Attendance[Start time])=Training_Attendance[[#This Row],[Date]]),0)*IFERROR(--(ISNUMBER(SEARCH(E$1,Attendance[Attendees]))),0)*IFERROR(--(Attendance[Session Type]="Training"),0))&gt;0,"Y","")</f>
        <v/>
      </c>
      <c r="F28" s="286" t="str" cm="1">
        <f t="array" ref="F28">IF(SUMPRODUCT(IFERROR(--(INT(Attendance[Start time])=Training_Attendance[[#This Row],[Date]]),0)*IFERROR(--(ISNUMBER(SEARCH(F$1,Attendance[Attendees]))),0)*IFERROR(--(Attendance[Session Type]="Training"),0))&gt;0,"Y","")</f>
        <v/>
      </c>
      <c r="G28" s="286" t="str" cm="1">
        <f t="array" ref="G28">IF(SUMPRODUCT(IFERROR(--(INT(Attendance[Start time])=Training_Attendance[[#This Row],[Date]]),0)*IFERROR(--(ISNUMBER(SEARCH(G$1,Attendance[Attendees]))),0)*IFERROR(--(Attendance[Session Type]="Training"),0))&gt;0,"Y","")</f>
        <v/>
      </c>
      <c r="H28" s="286" t="str" cm="1">
        <f t="array" ref="H28">IF(SUMPRODUCT(IFERROR(--(INT(Attendance[Start time])=Training_Attendance[[#This Row],[Date]]),0)*IFERROR(--(ISNUMBER(SEARCH(H$1,Attendance[Attendees]))),0)*IFERROR(--(Attendance[Session Type]="Training"),0))&gt;0,"Y","")</f>
        <v/>
      </c>
      <c r="I28" s="286" t="str" cm="1">
        <f t="array" ref="I28">IF(SUMPRODUCT(IFERROR(--(INT(Attendance[Start time])=Training_Attendance[[#This Row],[Date]]),0)*IFERROR(--(ISNUMBER(SEARCH(I$1,Attendance[Attendees]))),0)*IFERROR(--(Attendance[Session Type]="Training"),0))&gt;0,"Y","")</f>
        <v/>
      </c>
      <c r="J28" s="286" t="str" cm="1">
        <f t="array" ref="J28">IF(SUMPRODUCT(IFERROR(--(INT(Attendance[Start time])=Training_Attendance[[#This Row],[Date]]),0)*IFERROR(--(ISNUMBER(SEARCH(J$1,Attendance[Attendees]))),0)*IFERROR(--(Attendance[Session Type]="Training"),0))&gt;0,"Y","")</f>
        <v/>
      </c>
      <c r="K28" s="286" t="str" cm="1">
        <f t="array" ref="K28">IF(SUMPRODUCT(IFERROR(--(INT(Attendance[Start time])=Training_Attendance[[#This Row],[Date]]),0)*IFERROR(--(ISNUMBER(SEARCH(K$1,Attendance[Attendees]))),0)*IFERROR(--(Attendance[Session Type]="Training"),0))&gt;0,"Y","")</f>
        <v/>
      </c>
      <c r="L28" s="286" t="str" cm="1">
        <f t="array" ref="L28">IF(SUMPRODUCT(IFERROR(--(INT(Attendance[Start time])=Training_Attendance[[#This Row],[Date]]),0)*IFERROR(--(ISNUMBER(SEARCH(L$1,Attendance[Attendees]))),0)*IFERROR(--(Attendance[Session Type]="Training"),0))&gt;0,"Y","")</f>
        <v/>
      </c>
      <c r="M28" s="286" t="str" cm="1">
        <f t="array" ref="M28">IF(SUMPRODUCT(IFERROR(--(INT(Attendance[Start time])=Training_Attendance[[#This Row],[Date]]),0)*IFERROR(--(ISNUMBER(SEARCH(M$1,Attendance[Attendees]))),0)*IFERROR(--(Attendance[Session Type]="Training"),0))&gt;0,"Y","")</f>
        <v/>
      </c>
      <c r="N28" s="286" t="str" cm="1">
        <f t="array" ref="N28">IF(SUMPRODUCT(IFERROR(--(INT(Attendance[Start time])=Training_Attendance[[#This Row],[Date]]),0)*IFERROR(--(ISNUMBER(SEARCH(N$1,Attendance[Attendees]))),0)*IFERROR(--(Attendance[Session Type]="Training"),0))&gt;0,"Y","")</f>
        <v/>
      </c>
      <c r="O28" s="286" t="str" cm="1">
        <f t="array" ref="O28">IF(SUMPRODUCT(IFERROR(--(INT(Attendance[Start time])=Training_Attendance[[#This Row],[Date]]),0)*IFERROR(--(ISNUMBER(SEARCH(O$1,Attendance[Attendees]))),0)*IFERROR(--(Attendance[Session Type]="Training"),0))&gt;0,"Y","")</f>
        <v/>
      </c>
      <c r="P28" s="286" t="str" cm="1">
        <f t="array" ref="P28">IF(SUMPRODUCT(IFERROR(--(INT(Attendance[Start time])=Training_Attendance[[#This Row],[Date]]),0)*IFERROR(--(ISNUMBER(SEARCH(P$1,Attendance[Attendees]))),0)*IFERROR(--(Attendance[Session Type]="Training"),0))&gt;0,"Y","")</f>
        <v/>
      </c>
      <c r="Q28" s="286" t="str" cm="1">
        <f t="array" ref="Q28">IF(SUMPRODUCT(IFERROR(--(INT(Attendance[Start time])=Training_Attendance[[#This Row],[Date]]),0)*IFERROR(--(ISNUMBER(SEARCH(Q$1,Attendance[Attendees]))),0)*IFERROR(--(Attendance[Session Type]="Training"),0))&gt;0,"Y","")</f>
        <v/>
      </c>
      <c r="R28" s="286" t="str" cm="1">
        <f t="array" ref="R28">IF(SUMPRODUCT(IFERROR(--(INT(Attendance[Start time])=Training_Attendance[[#This Row],[Date]]),0)*IFERROR(--(ISNUMBER(SEARCH(R$1,Attendance[Attendees]))),0)*IFERROR(--(Attendance[Session Type]="Training"),0))&gt;0,"Y","")</f>
        <v/>
      </c>
      <c r="S28" s="286" t="str" cm="1">
        <f t="array" ref="S28">IF(SUMPRODUCT(IFERROR(--(INT(Attendance[Start time])=Training_Attendance[[#This Row],[Date]]),0)*IFERROR(--(ISNUMBER(SEARCH(S$1,Attendance[Attendees]))),0)*IFERROR(--(Attendance[Session Type]="Training"),0))&gt;0,"Y","")</f>
        <v/>
      </c>
      <c r="T28" s="286" t="str" cm="1">
        <f t="array" ref="T28">IF(SUMPRODUCT(IFERROR(--(INT(Attendance[Start time])=Training_Attendance[[#This Row],[Date]]),0)*IFERROR(--(ISNUMBER(SEARCH(T$1,Attendance[Attendees]))),0)*IFERROR(--(Attendance[Session Type]="Training"),0))&gt;0,"Y","")</f>
        <v/>
      </c>
      <c r="U28" s="286" t="str" cm="1">
        <f t="array" ref="U28">IF(SUMPRODUCT(IFERROR(--(INT(Attendance[Start time])=Training_Attendance[[#This Row],[Date]]),0)*IFERROR(--(ISNUMBER(SEARCH(U$1,Attendance[Attendees]))),0)*IFERROR(--(Attendance[Session Type]="Training"),0))&gt;0,"Y","")</f>
        <v/>
      </c>
      <c r="V28" s="286" t="str" cm="1">
        <f t="array" ref="V28">IF(SUMPRODUCT(IFERROR(--(INT(Attendance[Start time])=Training_Attendance[[#This Row],[Date]]),0)*IFERROR(--(ISNUMBER(SEARCH(V$1,Attendance[Attendees]))),0)*IFERROR(--(Attendance[Session Type]="Training"),0))&gt;0,"Y","")</f>
        <v/>
      </c>
      <c r="W28" s="286" t="str" cm="1">
        <f t="array" ref="W28">IF(SUMPRODUCT(IFERROR(--(INT(Attendance[Start time])=Training_Attendance[[#This Row],[Date]]),0)*IFERROR(--(ISNUMBER(SEARCH(W$1,Attendance[Attendees]))),0)*IFERROR(--(Attendance[Session Type]="Training"),0))&gt;0,"Y","")</f>
        <v/>
      </c>
      <c r="X28" s="286" t="str" cm="1">
        <f t="array" ref="X28">IF(SUMPRODUCT(IFERROR(--(INT(Attendance[Start time])=Training_Attendance[[#This Row],[Date]]),0)*IFERROR(--(ISNUMBER(SEARCH(X$1,Attendance[Attendees]))),0)*IFERROR(--(Attendance[Session Type]="Training"),0))&gt;0,"Y","")</f>
        <v/>
      </c>
      <c r="Y28" s="286" t="str" cm="1">
        <f t="array" ref="Y28">IF(SUMPRODUCT(IFERROR(--(INT(Attendance[Start time])=Training_Attendance[[#This Row],[Date]]),0)*IFERROR(--(ISNUMBER(SEARCH(Y$1,Attendance[Attendees]))),0)*IFERROR(--(Attendance[Session Type]="Training"),0))&gt;0,"Y","")</f>
        <v/>
      </c>
      <c r="Z28" s="286" t="str" cm="1">
        <f t="array" ref="Z28">IF(SUMPRODUCT(IFERROR(--(INT(Attendance[Start time])=Training_Attendance[[#This Row],[Date]]),0)*IFERROR(--(ISNUMBER(SEARCH(Z$1,Attendance[Attendees]))),0)*IFERROR(--(Attendance[Session Type]="Training"),0))&gt;0,"Y","")</f>
        <v/>
      </c>
      <c r="AA28" s="286" t="str" cm="1">
        <f t="array" ref="AA28">IF(SUMPRODUCT(IFERROR(--(INT(Attendance[Start time])=Training_Attendance[[#This Row],[Date]]),0)*IFERROR(--(ISNUMBER(SEARCH(AA$1,Attendance[Attendees]))),0)*IFERROR(--(Attendance[Session Type]="Training"),0))&gt;0,"Y","")</f>
        <v/>
      </c>
      <c r="AB28" s="286" t="str" cm="1">
        <f t="array" ref="AB28">IF(SUMPRODUCT(IFERROR(--(INT(Attendance[Start time])=Training_Attendance[[#This Row],[Date]]),0)*IFERROR(--(ISNUMBER(SEARCH(AB$1,Attendance[Attendees]))),0)*IFERROR(--(Attendance[Session Type]="Training"),0))&gt;0,"Y","")</f>
        <v/>
      </c>
      <c r="AC28" s="286" t="str" cm="1">
        <f t="array" ref="AC28">IF(SUMPRODUCT(IFERROR(--(INT(Attendance[Start time])=Training_Attendance[[#This Row],[Date]]),0)*IFERROR(--(ISNUMBER(SEARCH(AC$1,Attendance[Attendees]))),0)*IFERROR(--(Attendance[Session Type]="Training"),0))&gt;0,"Y","")</f>
        <v/>
      </c>
      <c r="AD28" s="265">
        <f>COUNTIF(Training_Attendance[[#This Row],[Alf M]:[Ronnie D]],"Y")</f>
        <v>0</v>
      </c>
      <c r="AE28" s="166"/>
    </row>
    <row r="29" spans="1:31" ht="16" customHeight="1" x14ac:dyDescent="0.35">
      <c r="A29" s="225">
        <v>46456</v>
      </c>
      <c r="B29" s="220">
        <f>Training_Attendance[[#This Row],[Date]]</f>
        <v>46456</v>
      </c>
      <c r="C29" s="166" t="s">
        <v>84</v>
      </c>
      <c r="D29" s="286" t="str" cm="1">
        <f t="array" ref="D29">IF(SUMPRODUCT(IFERROR(--(INT(Attendance[Start time])=Training_Attendance[[#This Row],[Date]]),0)*IFERROR(--(ISNUMBER(SEARCH(D$1,Attendance[Attendees]))),0)*IFERROR(--(Attendance[Session Type]="Training"),0))&gt;0,"Y","")</f>
        <v/>
      </c>
      <c r="E29" s="286" t="str" cm="1">
        <f t="array" ref="E29">IF(SUMPRODUCT(IFERROR(--(INT(Attendance[Start time])=Training_Attendance[[#This Row],[Date]]),0)*IFERROR(--(ISNUMBER(SEARCH(E$1,Attendance[Attendees]))),0)*IFERROR(--(Attendance[Session Type]="Training"),0))&gt;0,"Y","")</f>
        <v/>
      </c>
      <c r="F29" s="286" t="str" cm="1">
        <f t="array" ref="F29">IF(SUMPRODUCT(IFERROR(--(INT(Attendance[Start time])=Training_Attendance[[#This Row],[Date]]),0)*IFERROR(--(ISNUMBER(SEARCH(F$1,Attendance[Attendees]))),0)*IFERROR(--(Attendance[Session Type]="Training"),0))&gt;0,"Y","")</f>
        <v/>
      </c>
      <c r="G29" s="286" t="str" cm="1">
        <f t="array" ref="G29">IF(SUMPRODUCT(IFERROR(--(INT(Attendance[Start time])=Training_Attendance[[#This Row],[Date]]),0)*IFERROR(--(ISNUMBER(SEARCH(G$1,Attendance[Attendees]))),0)*IFERROR(--(Attendance[Session Type]="Training"),0))&gt;0,"Y","")</f>
        <v/>
      </c>
      <c r="H29" s="286" t="str" cm="1">
        <f t="array" ref="H29">IF(SUMPRODUCT(IFERROR(--(INT(Attendance[Start time])=Training_Attendance[[#This Row],[Date]]),0)*IFERROR(--(ISNUMBER(SEARCH(H$1,Attendance[Attendees]))),0)*IFERROR(--(Attendance[Session Type]="Training"),0))&gt;0,"Y","")</f>
        <v/>
      </c>
      <c r="I29" s="286" t="str" cm="1">
        <f t="array" ref="I29">IF(SUMPRODUCT(IFERROR(--(INT(Attendance[Start time])=Training_Attendance[[#This Row],[Date]]),0)*IFERROR(--(ISNUMBER(SEARCH(I$1,Attendance[Attendees]))),0)*IFERROR(--(Attendance[Session Type]="Training"),0))&gt;0,"Y","")</f>
        <v/>
      </c>
      <c r="J29" s="286" t="str" cm="1">
        <f t="array" ref="J29">IF(SUMPRODUCT(IFERROR(--(INT(Attendance[Start time])=Training_Attendance[[#This Row],[Date]]),0)*IFERROR(--(ISNUMBER(SEARCH(J$1,Attendance[Attendees]))),0)*IFERROR(--(Attendance[Session Type]="Training"),0))&gt;0,"Y","")</f>
        <v/>
      </c>
      <c r="K29" s="286" t="str" cm="1">
        <f t="array" ref="K29">IF(SUMPRODUCT(IFERROR(--(INT(Attendance[Start time])=Training_Attendance[[#This Row],[Date]]),0)*IFERROR(--(ISNUMBER(SEARCH(K$1,Attendance[Attendees]))),0)*IFERROR(--(Attendance[Session Type]="Training"),0))&gt;0,"Y","")</f>
        <v/>
      </c>
      <c r="L29" s="286" t="str" cm="1">
        <f t="array" ref="L29">IF(SUMPRODUCT(IFERROR(--(INT(Attendance[Start time])=Training_Attendance[[#This Row],[Date]]),0)*IFERROR(--(ISNUMBER(SEARCH(L$1,Attendance[Attendees]))),0)*IFERROR(--(Attendance[Session Type]="Training"),0))&gt;0,"Y","")</f>
        <v/>
      </c>
      <c r="M29" s="286" t="str" cm="1">
        <f t="array" ref="M29">IF(SUMPRODUCT(IFERROR(--(INT(Attendance[Start time])=Training_Attendance[[#This Row],[Date]]),0)*IFERROR(--(ISNUMBER(SEARCH(M$1,Attendance[Attendees]))),0)*IFERROR(--(Attendance[Session Type]="Training"),0))&gt;0,"Y","")</f>
        <v/>
      </c>
      <c r="N29" s="286" t="str" cm="1">
        <f t="array" ref="N29">IF(SUMPRODUCT(IFERROR(--(INT(Attendance[Start time])=Training_Attendance[[#This Row],[Date]]),0)*IFERROR(--(ISNUMBER(SEARCH(N$1,Attendance[Attendees]))),0)*IFERROR(--(Attendance[Session Type]="Training"),0))&gt;0,"Y","")</f>
        <v/>
      </c>
      <c r="O29" s="286" t="str" cm="1">
        <f t="array" ref="O29">IF(SUMPRODUCT(IFERROR(--(INT(Attendance[Start time])=Training_Attendance[[#This Row],[Date]]),0)*IFERROR(--(ISNUMBER(SEARCH(O$1,Attendance[Attendees]))),0)*IFERROR(--(Attendance[Session Type]="Training"),0))&gt;0,"Y","")</f>
        <v/>
      </c>
      <c r="P29" s="286" t="str" cm="1">
        <f t="array" ref="P29">IF(SUMPRODUCT(IFERROR(--(INT(Attendance[Start time])=Training_Attendance[[#This Row],[Date]]),0)*IFERROR(--(ISNUMBER(SEARCH(P$1,Attendance[Attendees]))),0)*IFERROR(--(Attendance[Session Type]="Training"),0))&gt;0,"Y","")</f>
        <v/>
      </c>
      <c r="Q29" s="286" t="str" cm="1">
        <f t="array" ref="Q29">IF(SUMPRODUCT(IFERROR(--(INT(Attendance[Start time])=Training_Attendance[[#This Row],[Date]]),0)*IFERROR(--(ISNUMBER(SEARCH(Q$1,Attendance[Attendees]))),0)*IFERROR(--(Attendance[Session Type]="Training"),0))&gt;0,"Y","")</f>
        <v/>
      </c>
      <c r="R29" s="286" t="str" cm="1">
        <f t="array" ref="R29">IF(SUMPRODUCT(IFERROR(--(INT(Attendance[Start time])=Training_Attendance[[#This Row],[Date]]),0)*IFERROR(--(ISNUMBER(SEARCH(R$1,Attendance[Attendees]))),0)*IFERROR(--(Attendance[Session Type]="Training"),0))&gt;0,"Y","")</f>
        <v/>
      </c>
      <c r="S29" s="286" t="str" cm="1">
        <f t="array" ref="S29">IF(SUMPRODUCT(IFERROR(--(INT(Attendance[Start time])=Training_Attendance[[#This Row],[Date]]),0)*IFERROR(--(ISNUMBER(SEARCH(S$1,Attendance[Attendees]))),0)*IFERROR(--(Attendance[Session Type]="Training"),0))&gt;0,"Y","")</f>
        <v/>
      </c>
      <c r="T29" s="286" t="str" cm="1">
        <f t="array" ref="T29">IF(SUMPRODUCT(IFERROR(--(INT(Attendance[Start time])=Training_Attendance[[#This Row],[Date]]),0)*IFERROR(--(ISNUMBER(SEARCH(T$1,Attendance[Attendees]))),0)*IFERROR(--(Attendance[Session Type]="Training"),0))&gt;0,"Y","")</f>
        <v/>
      </c>
      <c r="U29" s="286" t="str" cm="1">
        <f t="array" ref="U29">IF(SUMPRODUCT(IFERROR(--(INT(Attendance[Start time])=Training_Attendance[[#This Row],[Date]]),0)*IFERROR(--(ISNUMBER(SEARCH(U$1,Attendance[Attendees]))),0)*IFERROR(--(Attendance[Session Type]="Training"),0))&gt;0,"Y","")</f>
        <v/>
      </c>
      <c r="V29" s="286" t="str" cm="1">
        <f t="array" ref="V29">IF(SUMPRODUCT(IFERROR(--(INT(Attendance[Start time])=Training_Attendance[[#This Row],[Date]]),0)*IFERROR(--(ISNUMBER(SEARCH(V$1,Attendance[Attendees]))),0)*IFERROR(--(Attendance[Session Type]="Training"),0))&gt;0,"Y","")</f>
        <v/>
      </c>
      <c r="W29" s="286" t="str" cm="1">
        <f t="array" ref="W29">IF(SUMPRODUCT(IFERROR(--(INT(Attendance[Start time])=Training_Attendance[[#This Row],[Date]]),0)*IFERROR(--(ISNUMBER(SEARCH(W$1,Attendance[Attendees]))),0)*IFERROR(--(Attendance[Session Type]="Training"),0))&gt;0,"Y","")</f>
        <v/>
      </c>
      <c r="X29" s="286" t="str" cm="1">
        <f t="array" ref="X29">IF(SUMPRODUCT(IFERROR(--(INT(Attendance[Start time])=Training_Attendance[[#This Row],[Date]]),0)*IFERROR(--(ISNUMBER(SEARCH(X$1,Attendance[Attendees]))),0)*IFERROR(--(Attendance[Session Type]="Training"),0))&gt;0,"Y","")</f>
        <v/>
      </c>
      <c r="Y29" s="286" t="str" cm="1">
        <f t="array" ref="Y29">IF(SUMPRODUCT(IFERROR(--(INT(Attendance[Start time])=Training_Attendance[[#This Row],[Date]]),0)*IFERROR(--(ISNUMBER(SEARCH(Y$1,Attendance[Attendees]))),0)*IFERROR(--(Attendance[Session Type]="Training"),0))&gt;0,"Y","")</f>
        <v/>
      </c>
      <c r="Z29" s="286" t="str" cm="1">
        <f t="array" ref="Z29">IF(SUMPRODUCT(IFERROR(--(INT(Attendance[Start time])=Training_Attendance[[#This Row],[Date]]),0)*IFERROR(--(ISNUMBER(SEARCH(Z$1,Attendance[Attendees]))),0)*IFERROR(--(Attendance[Session Type]="Training"),0))&gt;0,"Y","")</f>
        <v/>
      </c>
      <c r="AA29" s="286" t="str" cm="1">
        <f t="array" ref="AA29">IF(SUMPRODUCT(IFERROR(--(INT(Attendance[Start time])=Training_Attendance[[#This Row],[Date]]),0)*IFERROR(--(ISNUMBER(SEARCH(AA$1,Attendance[Attendees]))),0)*IFERROR(--(Attendance[Session Type]="Training"),0))&gt;0,"Y","")</f>
        <v/>
      </c>
      <c r="AB29" s="286" t="str" cm="1">
        <f t="array" ref="AB29">IF(SUMPRODUCT(IFERROR(--(INT(Attendance[Start time])=Training_Attendance[[#This Row],[Date]]),0)*IFERROR(--(ISNUMBER(SEARCH(AB$1,Attendance[Attendees]))),0)*IFERROR(--(Attendance[Session Type]="Training"),0))&gt;0,"Y","")</f>
        <v/>
      </c>
      <c r="AC29" s="286" t="str" cm="1">
        <f t="array" ref="AC29">IF(SUMPRODUCT(IFERROR(--(INT(Attendance[Start time])=Training_Attendance[[#This Row],[Date]]),0)*IFERROR(--(ISNUMBER(SEARCH(AC$1,Attendance[Attendees]))),0)*IFERROR(--(Attendance[Session Type]="Training"),0))&gt;0,"Y","")</f>
        <v/>
      </c>
      <c r="AD29" s="265">
        <f>COUNTIF(Training_Attendance[[#This Row],[Alf M]:[Ronnie D]],"Y")</f>
        <v>0</v>
      </c>
      <c r="AE29" s="166"/>
    </row>
    <row r="30" spans="1:31" ht="16" customHeight="1" x14ac:dyDescent="0.35">
      <c r="A30" s="225">
        <v>46463</v>
      </c>
      <c r="B30" s="220">
        <f>Training_Attendance[[#This Row],[Date]]</f>
        <v>46463</v>
      </c>
      <c r="C30" s="166" t="s">
        <v>84</v>
      </c>
      <c r="D30" s="286" t="str" cm="1">
        <f t="array" ref="D30">IF(SUMPRODUCT(IFERROR(--(INT(Attendance[Start time])=Training_Attendance[[#This Row],[Date]]),0)*IFERROR(--(ISNUMBER(SEARCH(D$1,Attendance[Attendees]))),0)*IFERROR(--(Attendance[Session Type]="Training"),0))&gt;0,"Y","")</f>
        <v/>
      </c>
      <c r="E30" s="286" t="str" cm="1">
        <f t="array" ref="E30">IF(SUMPRODUCT(IFERROR(--(INT(Attendance[Start time])=Training_Attendance[[#This Row],[Date]]),0)*IFERROR(--(ISNUMBER(SEARCH(E$1,Attendance[Attendees]))),0)*IFERROR(--(Attendance[Session Type]="Training"),0))&gt;0,"Y","")</f>
        <v/>
      </c>
      <c r="F30" s="286" t="str" cm="1">
        <f t="array" ref="F30">IF(SUMPRODUCT(IFERROR(--(INT(Attendance[Start time])=Training_Attendance[[#This Row],[Date]]),0)*IFERROR(--(ISNUMBER(SEARCH(F$1,Attendance[Attendees]))),0)*IFERROR(--(Attendance[Session Type]="Training"),0))&gt;0,"Y","")</f>
        <v/>
      </c>
      <c r="G30" s="286" t="str" cm="1">
        <f t="array" ref="G30">IF(SUMPRODUCT(IFERROR(--(INT(Attendance[Start time])=Training_Attendance[[#This Row],[Date]]),0)*IFERROR(--(ISNUMBER(SEARCH(G$1,Attendance[Attendees]))),0)*IFERROR(--(Attendance[Session Type]="Training"),0))&gt;0,"Y","")</f>
        <v/>
      </c>
      <c r="H30" s="286" t="str" cm="1">
        <f t="array" ref="H30">IF(SUMPRODUCT(IFERROR(--(INT(Attendance[Start time])=Training_Attendance[[#This Row],[Date]]),0)*IFERROR(--(ISNUMBER(SEARCH(H$1,Attendance[Attendees]))),0)*IFERROR(--(Attendance[Session Type]="Training"),0))&gt;0,"Y","")</f>
        <v/>
      </c>
      <c r="I30" s="286" t="str" cm="1">
        <f t="array" ref="I30">IF(SUMPRODUCT(IFERROR(--(INT(Attendance[Start time])=Training_Attendance[[#This Row],[Date]]),0)*IFERROR(--(ISNUMBER(SEARCH(I$1,Attendance[Attendees]))),0)*IFERROR(--(Attendance[Session Type]="Training"),0))&gt;0,"Y","")</f>
        <v/>
      </c>
      <c r="J30" s="286" t="str" cm="1">
        <f t="array" ref="J30">IF(SUMPRODUCT(IFERROR(--(INT(Attendance[Start time])=Training_Attendance[[#This Row],[Date]]),0)*IFERROR(--(ISNUMBER(SEARCH(J$1,Attendance[Attendees]))),0)*IFERROR(--(Attendance[Session Type]="Training"),0))&gt;0,"Y","")</f>
        <v/>
      </c>
      <c r="K30" s="286" t="str" cm="1">
        <f t="array" ref="K30">IF(SUMPRODUCT(IFERROR(--(INT(Attendance[Start time])=Training_Attendance[[#This Row],[Date]]),0)*IFERROR(--(ISNUMBER(SEARCH(K$1,Attendance[Attendees]))),0)*IFERROR(--(Attendance[Session Type]="Training"),0))&gt;0,"Y","")</f>
        <v/>
      </c>
      <c r="L30" s="286" t="str" cm="1">
        <f t="array" ref="L30">IF(SUMPRODUCT(IFERROR(--(INT(Attendance[Start time])=Training_Attendance[[#This Row],[Date]]),0)*IFERROR(--(ISNUMBER(SEARCH(L$1,Attendance[Attendees]))),0)*IFERROR(--(Attendance[Session Type]="Training"),0))&gt;0,"Y","")</f>
        <v/>
      </c>
      <c r="M30" s="286" t="str" cm="1">
        <f t="array" ref="M30">IF(SUMPRODUCT(IFERROR(--(INT(Attendance[Start time])=Training_Attendance[[#This Row],[Date]]),0)*IFERROR(--(ISNUMBER(SEARCH(M$1,Attendance[Attendees]))),0)*IFERROR(--(Attendance[Session Type]="Training"),0))&gt;0,"Y","")</f>
        <v/>
      </c>
      <c r="N30" s="286" t="str" cm="1">
        <f t="array" ref="N30">IF(SUMPRODUCT(IFERROR(--(INT(Attendance[Start time])=Training_Attendance[[#This Row],[Date]]),0)*IFERROR(--(ISNUMBER(SEARCH(N$1,Attendance[Attendees]))),0)*IFERROR(--(Attendance[Session Type]="Training"),0))&gt;0,"Y","")</f>
        <v/>
      </c>
      <c r="O30" s="286" t="str" cm="1">
        <f t="array" ref="O30">IF(SUMPRODUCT(IFERROR(--(INT(Attendance[Start time])=Training_Attendance[[#This Row],[Date]]),0)*IFERROR(--(ISNUMBER(SEARCH(O$1,Attendance[Attendees]))),0)*IFERROR(--(Attendance[Session Type]="Training"),0))&gt;0,"Y","")</f>
        <v/>
      </c>
      <c r="P30" s="286" t="str" cm="1">
        <f t="array" ref="P30">IF(SUMPRODUCT(IFERROR(--(INT(Attendance[Start time])=Training_Attendance[[#This Row],[Date]]),0)*IFERROR(--(ISNUMBER(SEARCH(P$1,Attendance[Attendees]))),0)*IFERROR(--(Attendance[Session Type]="Training"),0))&gt;0,"Y","")</f>
        <v/>
      </c>
      <c r="Q30" s="286" t="str" cm="1">
        <f t="array" ref="Q30">IF(SUMPRODUCT(IFERROR(--(INT(Attendance[Start time])=Training_Attendance[[#This Row],[Date]]),0)*IFERROR(--(ISNUMBER(SEARCH(Q$1,Attendance[Attendees]))),0)*IFERROR(--(Attendance[Session Type]="Training"),0))&gt;0,"Y","")</f>
        <v/>
      </c>
      <c r="R30" s="286" t="str" cm="1">
        <f t="array" ref="R30">IF(SUMPRODUCT(IFERROR(--(INT(Attendance[Start time])=Training_Attendance[[#This Row],[Date]]),0)*IFERROR(--(ISNUMBER(SEARCH(R$1,Attendance[Attendees]))),0)*IFERROR(--(Attendance[Session Type]="Training"),0))&gt;0,"Y","")</f>
        <v/>
      </c>
      <c r="S30" s="286" t="str" cm="1">
        <f t="array" ref="S30">IF(SUMPRODUCT(IFERROR(--(INT(Attendance[Start time])=Training_Attendance[[#This Row],[Date]]),0)*IFERROR(--(ISNUMBER(SEARCH(S$1,Attendance[Attendees]))),0)*IFERROR(--(Attendance[Session Type]="Training"),0))&gt;0,"Y","")</f>
        <v/>
      </c>
      <c r="T30" s="286" t="str" cm="1">
        <f t="array" ref="T30">IF(SUMPRODUCT(IFERROR(--(INT(Attendance[Start time])=Training_Attendance[[#This Row],[Date]]),0)*IFERROR(--(ISNUMBER(SEARCH(T$1,Attendance[Attendees]))),0)*IFERROR(--(Attendance[Session Type]="Training"),0))&gt;0,"Y","")</f>
        <v/>
      </c>
      <c r="U30" s="286" t="str" cm="1">
        <f t="array" ref="U30">IF(SUMPRODUCT(IFERROR(--(INT(Attendance[Start time])=Training_Attendance[[#This Row],[Date]]),0)*IFERROR(--(ISNUMBER(SEARCH(U$1,Attendance[Attendees]))),0)*IFERROR(--(Attendance[Session Type]="Training"),0))&gt;0,"Y","")</f>
        <v/>
      </c>
      <c r="V30" s="286" t="str" cm="1">
        <f t="array" ref="V30">IF(SUMPRODUCT(IFERROR(--(INT(Attendance[Start time])=Training_Attendance[[#This Row],[Date]]),0)*IFERROR(--(ISNUMBER(SEARCH(V$1,Attendance[Attendees]))),0)*IFERROR(--(Attendance[Session Type]="Training"),0))&gt;0,"Y","")</f>
        <v/>
      </c>
      <c r="W30" s="286" t="str" cm="1">
        <f t="array" ref="W30">IF(SUMPRODUCT(IFERROR(--(INT(Attendance[Start time])=Training_Attendance[[#This Row],[Date]]),0)*IFERROR(--(ISNUMBER(SEARCH(W$1,Attendance[Attendees]))),0)*IFERROR(--(Attendance[Session Type]="Training"),0))&gt;0,"Y","")</f>
        <v/>
      </c>
      <c r="X30" s="286" t="str" cm="1">
        <f t="array" ref="X30">IF(SUMPRODUCT(IFERROR(--(INT(Attendance[Start time])=Training_Attendance[[#This Row],[Date]]),0)*IFERROR(--(ISNUMBER(SEARCH(X$1,Attendance[Attendees]))),0)*IFERROR(--(Attendance[Session Type]="Training"),0))&gt;0,"Y","")</f>
        <v/>
      </c>
      <c r="Y30" s="286" t="str" cm="1">
        <f t="array" ref="Y30">IF(SUMPRODUCT(IFERROR(--(INT(Attendance[Start time])=Training_Attendance[[#This Row],[Date]]),0)*IFERROR(--(ISNUMBER(SEARCH(Y$1,Attendance[Attendees]))),0)*IFERROR(--(Attendance[Session Type]="Training"),0))&gt;0,"Y","")</f>
        <v/>
      </c>
      <c r="Z30" s="286" t="str" cm="1">
        <f t="array" ref="Z30">IF(SUMPRODUCT(IFERROR(--(INT(Attendance[Start time])=Training_Attendance[[#This Row],[Date]]),0)*IFERROR(--(ISNUMBER(SEARCH(Z$1,Attendance[Attendees]))),0)*IFERROR(--(Attendance[Session Type]="Training"),0))&gt;0,"Y","")</f>
        <v/>
      </c>
      <c r="AA30" s="286" t="str" cm="1">
        <f t="array" ref="AA30">IF(SUMPRODUCT(IFERROR(--(INT(Attendance[Start time])=Training_Attendance[[#This Row],[Date]]),0)*IFERROR(--(ISNUMBER(SEARCH(AA$1,Attendance[Attendees]))),0)*IFERROR(--(Attendance[Session Type]="Training"),0))&gt;0,"Y","")</f>
        <v/>
      </c>
      <c r="AB30" s="286" t="str" cm="1">
        <f t="array" ref="AB30">IF(SUMPRODUCT(IFERROR(--(INT(Attendance[Start time])=Training_Attendance[[#This Row],[Date]]),0)*IFERROR(--(ISNUMBER(SEARCH(AB$1,Attendance[Attendees]))),0)*IFERROR(--(Attendance[Session Type]="Training"),0))&gt;0,"Y","")</f>
        <v/>
      </c>
      <c r="AC30" s="286" t="str" cm="1">
        <f t="array" ref="AC30">IF(SUMPRODUCT(IFERROR(--(INT(Attendance[Start time])=Training_Attendance[[#This Row],[Date]]),0)*IFERROR(--(ISNUMBER(SEARCH(AC$1,Attendance[Attendees]))),0)*IFERROR(--(Attendance[Session Type]="Training"),0))&gt;0,"Y","")</f>
        <v/>
      </c>
      <c r="AD30" s="265">
        <f>COUNTIF(Training_Attendance[[#This Row],[Alf M]:[Ronnie D]],"Y")</f>
        <v>0</v>
      </c>
      <c r="AE30" s="166"/>
    </row>
    <row r="31" spans="1:31" ht="16" customHeight="1" x14ac:dyDescent="0.35">
      <c r="A31" s="225">
        <v>46470</v>
      </c>
      <c r="B31" s="220">
        <f>Training_Attendance[[#This Row],[Date]]</f>
        <v>46470</v>
      </c>
      <c r="C31" s="166" t="s">
        <v>84</v>
      </c>
      <c r="D31" s="286" t="str" cm="1">
        <f t="array" ref="D31">IF(SUMPRODUCT(IFERROR(--(INT(Attendance[Start time])=Training_Attendance[[#This Row],[Date]]),0)*IFERROR(--(ISNUMBER(SEARCH(D$1,Attendance[Attendees]))),0)*IFERROR(--(Attendance[Session Type]="Training"),0))&gt;0,"Y","")</f>
        <v/>
      </c>
      <c r="E31" s="286" t="str" cm="1">
        <f t="array" ref="E31">IF(SUMPRODUCT(IFERROR(--(INT(Attendance[Start time])=Training_Attendance[[#This Row],[Date]]),0)*IFERROR(--(ISNUMBER(SEARCH(E$1,Attendance[Attendees]))),0)*IFERROR(--(Attendance[Session Type]="Training"),0))&gt;0,"Y","")</f>
        <v/>
      </c>
      <c r="F31" s="286" t="str" cm="1">
        <f t="array" ref="F31">IF(SUMPRODUCT(IFERROR(--(INT(Attendance[Start time])=Training_Attendance[[#This Row],[Date]]),0)*IFERROR(--(ISNUMBER(SEARCH(F$1,Attendance[Attendees]))),0)*IFERROR(--(Attendance[Session Type]="Training"),0))&gt;0,"Y","")</f>
        <v/>
      </c>
      <c r="G31" s="286" t="str" cm="1">
        <f t="array" ref="G31">IF(SUMPRODUCT(IFERROR(--(INT(Attendance[Start time])=Training_Attendance[[#This Row],[Date]]),0)*IFERROR(--(ISNUMBER(SEARCH(G$1,Attendance[Attendees]))),0)*IFERROR(--(Attendance[Session Type]="Training"),0))&gt;0,"Y","")</f>
        <v/>
      </c>
      <c r="H31" s="286" t="str" cm="1">
        <f t="array" ref="H31">IF(SUMPRODUCT(IFERROR(--(INT(Attendance[Start time])=Training_Attendance[[#This Row],[Date]]),0)*IFERROR(--(ISNUMBER(SEARCH(H$1,Attendance[Attendees]))),0)*IFERROR(--(Attendance[Session Type]="Training"),0))&gt;0,"Y","")</f>
        <v/>
      </c>
      <c r="I31" s="286" t="str" cm="1">
        <f t="array" ref="I31">IF(SUMPRODUCT(IFERROR(--(INT(Attendance[Start time])=Training_Attendance[[#This Row],[Date]]),0)*IFERROR(--(ISNUMBER(SEARCH(I$1,Attendance[Attendees]))),0)*IFERROR(--(Attendance[Session Type]="Training"),0))&gt;0,"Y","")</f>
        <v/>
      </c>
      <c r="J31" s="286" t="str" cm="1">
        <f t="array" ref="J31">IF(SUMPRODUCT(IFERROR(--(INT(Attendance[Start time])=Training_Attendance[[#This Row],[Date]]),0)*IFERROR(--(ISNUMBER(SEARCH(J$1,Attendance[Attendees]))),0)*IFERROR(--(Attendance[Session Type]="Training"),0))&gt;0,"Y","")</f>
        <v/>
      </c>
      <c r="K31" s="286" t="str" cm="1">
        <f t="array" ref="K31">IF(SUMPRODUCT(IFERROR(--(INT(Attendance[Start time])=Training_Attendance[[#This Row],[Date]]),0)*IFERROR(--(ISNUMBER(SEARCH(K$1,Attendance[Attendees]))),0)*IFERROR(--(Attendance[Session Type]="Training"),0))&gt;0,"Y","")</f>
        <v/>
      </c>
      <c r="L31" s="286" t="str" cm="1">
        <f t="array" ref="L31">IF(SUMPRODUCT(IFERROR(--(INT(Attendance[Start time])=Training_Attendance[[#This Row],[Date]]),0)*IFERROR(--(ISNUMBER(SEARCH(L$1,Attendance[Attendees]))),0)*IFERROR(--(Attendance[Session Type]="Training"),0))&gt;0,"Y","")</f>
        <v/>
      </c>
      <c r="M31" s="286" t="str" cm="1">
        <f t="array" ref="M31">IF(SUMPRODUCT(IFERROR(--(INT(Attendance[Start time])=Training_Attendance[[#This Row],[Date]]),0)*IFERROR(--(ISNUMBER(SEARCH(M$1,Attendance[Attendees]))),0)*IFERROR(--(Attendance[Session Type]="Training"),0))&gt;0,"Y","")</f>
        <v/>
      </c>
      <c r="N31" s="286" t="str" cm="1">
        <f t="array" ref="N31">IF(SUMPRODUCT(IFERROR(--(INT(Attendance[Start time])=Training_Attendance[[#This Row],[Date]]),0)*IFERROR(--(ISNUMBER(SEARCH(N$1,Attendance[Attendees]))),0)*IFERROR(--(Attendance[Session Type]="Training"),0))&gt;0,"Y","")</f>
        <v/>
      </c>
      <c r="O31" s="286" t="str" cm="1">
        <f t="array" ref="O31">IF(SUMPRODUCT(IFERROR(--(INT(Attendance[Start time])=Training_Attendance[[#This Row],[Date]]),0)*IFERROR(--(ISNUMBER(SEARCH(O$1,Attendance[Attendees]))),0)*IFERROR(--(Attendance[Session Type]="Training"),0))&gt;0,"Y","")</f>
        <v/>
      </c>
      <c r="P31" s="286" t="str" cm="1">
        <f t="array" ref="P31">IF(SUMPRODUCT(IFERROR(--(INT(Attendance[Start time])=Training_Attendance[[#This Row],[Date]]),0)*IFERROR(--(ISNUMBER(SEARCH(P$1,Attendance[Attendees]))),0)*IFERROR(--(Attendance[Session Type]="Training"),0))&gt;0,"Y","")</f>
        <v/>
      </c>
      <c r="Q31" s="286" t="str" cm="1">
        <f t="array" ref="Q31">IF(SUMPRODUCT(IFERROR(--(INT(Attendance[Start time])=Training_Attendance[[#This Row],[Date]]),0)*IFERROR(--(ISNUMBER(SEARCH(Q$1,Attendance[Attendees]))),0)*IFERROR(--(Attendance[Session Type]="Training"),0))&gt;0,"Y","")</f>
        <v/>
      </c>
      <c r="R31" s="286" t="str" cm="1">
        <f t="array" ref="R31">IF(SUMPRODUCT(IFERROR(--(INT(Attendance[Start time])=Training_Attendance[[#This Row],[Date]]),0)*IFERROR(--(ISNUMBER(SEARCH(R$1,Attendance[Attendees]))),0)*IFERROR(--(Attendance[Session Type]="Training"),0))&gt;0,"Y","")</f>
        <v/>
      </c>
      <c r="S31" s="286" t="str" cm="1">
        <f t="array" ref="S31">IF(SUMPRODUCT(IFERROR(--(INT(Attendance[Start time])=Training_Attendance[[#This Row],[Date]]),0)*IFERROR(--(ISNUMBER(SEARCH(S$1,Attendance[Attendees]))),0)*IFERROR(--(Attendance[Session Type]="Training"),0))&gt;0,"Y","")</f>
        <v/>
      </c>
      <c r="T31" s="286" t="str" cm="1">
        <f t="array" ref="T31">IF(SUMPRODUCT(IFERROR(--(INT(Attendance[Start time])=Training_Attendance[[#This Row],[Date]]),0)*IFERROR(--(ISNUMBER(SEARCH(T$1,Attendance[Attendees]))),0)*IFERROR(--(Attendance[Session Type]="Training"),0))&gt;0,"Y","")</f>
        <v/>
      </c>
      <c r="U31" s="286" t="str" cm="1">
        <f t="array" ref="U31">IF(SUMPRODUCT(IFERROR(--(INT(Attendance[Start time])=Training_Attendance[[#This Row],[Date]]),0)*IFERROR(--(ISNUMBER(SEARCH(U$1,Attendance[Attendees]))),0)*IFERROR(--(Attendance[Session Type]="Training"),0))&gt;0,"Y","")</f>
        <v/>
      </c>
      <c r="V31" s="286" t="str" cm="1">
        <f t="array" ref="V31">IF(SUMPRODUCT(IFERROR(--(INT(Attendance[Start time])=Training_Attendance[[#This Row],[Date]]),0)*IFERROR(--(ISNUMBER(SEARCH(V$1,Attendance[Attendees]))),0)*IFERROR(--(Attendance[Session Type]="Training"),0))&gt;0,"Y","")</f>
        <v/>
      </c>
      <c r="W31" s="286" t="str" cm="1">
        <f t="array" ref="W31">IF(SUMPRODUCT(IFERROR(--(INT(Attendance[Start time])=Training_Attendance[[#This Row],[Date]]),0)*IFERROR(--(ISNUMBER(SEARCH(W$1,Attendance[Attendees]))),0)*IFERROR(--(Attendance[Session Type]="Training"),0))&gt;0,"Y","")</f>
        <v/>
      </c>
      <c r="X31" s="286" t="str" cm="1">
        <f t="array" ref="X31">IF(SUMPRODUCT(IFERROR(--(INT(Attendance[Start time])=Training_Attendance[[#This Row],[Date]]),0)*IFERROR(--(ISNUMBER(SEARCH(X$1,Attendance[Attendees]))),0)*IFERROR(--(Attendance[Session Type]="Training"),0))&gt;0,"Y","")</f>
        <v/>
      </c>
      <c r="Y31" s="286" t="str" cm="1">
        <f t="array" ref="Y31">IF(SUMPRODUCT(IFERROR(--(INT(Attendance[Start time])=Training_Attendance[[#This Row],[Date]]),0)*IFERROR(--(ISNUMBER(SEARCH(Y$1,Attendance[Attendees]))),0)*IFERROR(--(Attendance[Session Type]="Training"),0))&gt;0,"Y","")</f>
        <v/>
      </c>
      <c r="Z31" s="286" t="str" cm="1">
        <f t="array" ref="Z31">IF(SUMPRODUCT(IFERROR(--(INT(Attendance[Start time])=Training_Attendance[[#This Row],[Date]]),0)*IFERROR(--(ISNUMBER(SEARCH(Z$1,Attendance[Attendees]))),0)*IFERROR(--(Attendance[Session Type]="Training"),0))&gt;0,"Y","")</f>
        <v/>
      </c>
      <c r="AA31" s="286" t="str" cm="1">
        <f t="array" ref="AA31">IF(SUMPRODUCT(IFERROR(--(INT(Attendance[Start time])=Training_Attendance[[#This Row],[Date]]),0)*IFERROR(--(ISNUMBER(SEARCH(AA$1,Attendance[Attendees]))),0)*IFERROR(--(Attendance[Session Type]="Training"),0))&gt;0,"Y","")</f>
        <v/>
      </c>
      <c r="AB31" s="286" t="str" cm="1">
        <f t="array" ref="AB31">IF(SUMPRODUCT(IFERROR(--(INT(Attendance[Start time])=Training_Attendance[[#This Row],[Date]]),0)*IFERROR(--(ISNUMBER(SEARCH(AB$1,Attendance[Attendees]))),0)*IFERROR(--(Attendance[Session Type]="Training"),0))&gt;0,"Y","")</f>
        <v/>
      </c>
      <c r="AC31" s="286" t="str" cm="1">
        <f t="array" ref="AC31">IF(SUMPRODUCT(IFERROR(--(INT(Attendance[Start time])=Training_Attendance[[#This Row],[Date]]),0)*IFERROR(--(ISNUMBER(SEARCH(AC$1,Attendance[Attendees]))),0)*IFERROR(--(Attendance[Session Type]="Training"),0))&gt;0,"Y","")</f>
        <v/>
      </c>
      <c r="AD31" s="265">
        <f>COUNTIF(Training_Attendance[[#This Row],[Alf M]:[Ronnie D]],"Y")</f>
        <v>0</v>
      </c>
      <c r="AE31" s="166"/>
    </row>
    <row r="32" spans="1:31" ht="16" customHeight="1" x14ac:dyDescent="0.35">
      <c r="A32" s="225">
        <v>46477</v>
      </c>
      <c r="B32" s="220">
        <f>Training_Attendance[[#This Row],[Date]]</f>
        <v>46477</v>
      </c>
      <c r="C32" s="166" t="s">
        <v>84</v>
      </c>
      <c r="D32" s="286" t="str" cm="1">
        <f t="array" ref="D32">IF(SUMPRODUCT(IFERROR(--(INT(Attendance[Start time])=Training_Attendance[[#This Row],[Date]]),0)*IFERROR(--(ISNUMBER(SEARCH(D$1,Attendance[Attendees]))),0)*IFERROR(--(Attendance[Session Type]="Training"),0))&gt;0,"Y","")</f>
        <v/>
      </c>
      <c r="E32" s="286" t="str" cm="1">
        <f t="array" ref="E32">IF(SUMPRODUCT(IFERROR(--(INT(Attendance[Start time])=Training_Attendance[[#This Row],[Date]]),0)*IFERROR(--(ISNUMBER(SEARCH(E$1,Attendance[Attendees]))),0)*IFERROR(--(Attendance[Session Type]="Training"),0))&gt;0,"Y","")</f>
        <v/>
      </c>
      <c r="F32" s="286" t="str" cm="1">
        <f t="array" ref="F32">IF(SUMPRODUCT(IFERROR(--(INT(Attendance[Start time])=Training_Attendance[[#This Row],[Date]]),0)*IFERROR(--(ISNUMBER(SEARCH(F$1,Attendance[Attendees]))),0)*IFERROR(--(Attendance[Session Type]="Training"),0))&gt;0,"Y","")</f>
        <v/>
      </c>
      <c r="G32" s="286" t="str" cm="1">
        <f t="array" ref="G32">IF(SUMPRODUCT(IFERROR(--(INT(Attendance[Start time])=Training_Attendance[[#This Row],[Date]]),0)*IFERROR(--(ISNUMBER(SEARCH(G$1,Attendance[Attendees]))),0)*IFERROR(--(Attendance[Session Type]="Training"),0))&gt;0,"Y","")</f>
        <v/>
      </c>
      <c r="H32" s="286" t="str" cm="1">
        <f t="array" ref="H32">IF(SUMPRODUCT(IFERROR(--(INT(Attendance[Start time])=Training_Attendance[[#This Row],[Date]]),0)*IFERROR(--(ISNUMBER(SEARCH(H$1,Attendance[Attendees]))),0)*IFERROR(--(Attendance[Session Type]="Training"),0))&gt;0,"Y","")</f>
        <v/>
      </c>
      <c r="I32" s="286" t="str" cm="1">
        <f t="array" ref="I32">IF(SUMPRODUCT(IFERROR(--(INT(Attendance[Start time])=Training_Attendance[[#This Row],[Date]]),0)*IFERROR(--(ISNUMBER(SEARCH(I$1,Attendance[Attendees]))),0)*IFERROR(--(Attendance[Session Type]="Training"),0))&gt;0,"Y","")</f>
        <v/>
      </c>
      <c r="J32" s="286" t="str" cm="1">
        <f t="array" ref="J32">IF(SUMPRODUCT(IFERROR(--(INT(Attendance[Start time])=Training_Attendance[[#This Row],[Date]]),0)*IFERROR(--(ISNUMBER(SEARCH(J$1,Attendance[Attendees]))),0)*IFERROR(--(Attendance[Session Type]="Training"),0))&gt;0,"Y","")</f>
        <v/>
      </c>
      <c r="K32" s="286" t="str" cm="1">
        <f t="array" ref="K32">IF(SUMPRODUCT(IFERROR(--(INT(Attendance[Start time])=Training_Attendance[[#This Row],[Date]]),0)*IFERROR(--(ISNUMBER(SEARCH(K$1,Attendance[Attendees]))),0)*IFERROR(--(Attendance[Session Type]="Training"),0))&gt;0,"Y","")</f>
        <v/>
      </c>
      <c r="L32" s="286" t="str" cm="1">
        <f t="array" ref="L32">IF(SUMPRODUCT(IFERROR(--(INT(Attendance[Start time])=Training_Attendance[[#This Row],[Date]]),0)*IFERROR(--(ISNUMBER(SEARCH(L$1,Attendance[Attendees]))),0)*IFERROR(--(Attendance[Session Type]="Training"),0))&gt;0,"Y","")</f>
        <v/>
      </c>
      <c r="M32" s="286" t="str" cm="1">
        <f t="array" ref="M32">IF(SUMPRODUCT(IFERROR(--(INT(Attendance[Start time])=Training_Attendance[[#This Row],[Date]]),0)*IFERROR(--(ISNUMBER(SEARCH(M$1,Attendance[Attendees]))),0)*IFERROR(--(Attendance[Session Type]="Training"),0))&gt;0,"Y","")</f>
        <v/>
      </c>
      <c r="N32" s="286" t="str" cm="1">
        <f t="array" ref="N32">IF(SUMPRODUCT(IFERROR(--(INT(Attendance[Start time])=Training_Attendance[[#This Row],[Date]]),0)*IFERROR(--(ISNUMBER(SEARCH(N$1,Attendance[Attendees]))),0)*IFERROR(--(Attendance[Session Type]="Training"),0))&gt;0,"Y","")</f>
        <v/>
      </c>
      <c r="O32" s="286" t="str" cm="1">
        <f t="array" ref="O32">IF(SUMPRODUCT(IFERROR(--(INT(Attendance[Start time])=Training_Attendance[[#This Row],[Date]]),0)*IFERROR(--(ISNUMBER(SEARCH(O$1,Attendance[Attendees]))),0)*IFERROR(--(Attendance[Session Type]="Training"),0))&gt;0,"Y","")</f>
        <v/>
      </c>
      <c r="P32" s="286" t="str" cm="1">
        <f t="array" ref="P32">IF(SUMPRODUCT(IFERROR(--(INT(Attendance[Start time])=Training_Attendance[[#This Row],[Date]]),0)*IFERROR(--(ISNUMBER(SEARCH(P$1,Attendance[Attendees]))),0)*IFERROR(--(Attendance[Session Type]="Training"),0))&gt;0,"Y","")</f>
        <v/>
      </c>
      <c r="Q32" s="286" t="str" cm="1">
        <f t="array" ref="Q32">IF(SUMPRODUCT(IFERROR(--(INT(Attendance[Start time])=Training_Attendance[[#This Row],[Date]]),0)*IFERROR(--(ISNUMBER(SEARCH(Q$1,Attendance[Attendees]))),0)*IFERROR(--(Attendance[Session Type]="Training"),0))&gt;0,"Y","")</f>
        <v/>
      </c>
      <c r="R32" s="286" t="str" cm="1">
        <f t="array" ref="R32">IF(SUMPRODUCT(IFERROR(--(INT(Attendance[Start time])=Training_Attendance[[#This Row],[Date]]),0)*IFERROR(--(ISNUMBER(SEARCH(R$1,Attendance[Attendees]))),0)*IFERROR(--(Attendance[Session Type]="Training"),0))&gt;0,"Y","")</f>
        <v/>
      </c>
      <c r="S32" s="286" t="str" cm="1">
        <f t="array" ref="S32">IF(SUMPRODUCT(IFERROR(--(INT(Attendance[Start time])=Training_Attendance[[#This Row],[Date]]),0)*IFERROR(--(ISNUMBER(SEARCH(S$1,Attendance[Attendees]))),0)*IFERROR(--(Attendance[Session Type]="Training"),0))&gt;0,"Y","")</f>
        <v/>
      </c>
      <c r="T32" s="286" t="str" cm="1">
        <f t="array" ref="T32">IF(SUMPRODUCT(IFERROR(--(INT(Attendance[Start time])=Training_Attendance[[#This Row],[Date]]),0)*IFERROR(--(ISNUMBER(SEARCH(T$1,Attendance[Attendees]))),0)*IFERROR(--(Attendance[Session Type]="Training"),0))&gt;0,"Y","")</f>
        <v/>
      </c>
      <c r="U32" s="286" t="str" cm="1">
        <f t="array" ref="U32">IF(SUMPRODUCT(IFERROR(--(INT(Attendance[Start time])=Training_Attendance[[#This Row],[Date]]),0)*IFERROR(--(ISNUMBER(SEARCH(U$1,Attendance[Attendees]))),0)*IFERROR(--(Attendance[Session Type]="Training"),0))&gt;0,"Y","")</f>
        <v/>
      </c>
      <c r="V32" s="286" t="str" cm="1">
        <f t="array" ref="V32">IF(SUMPRODUCT(IFERROR(--(INT(Attendance[Start time])=Training_Attendance[[#This Row],[Date]]),0)*IFERROR(--(ISNUMBER(SEARCH(V$1,Attendance[Attendees]))),0)*IFERROR(--(Attendance[Session Type]="Training"),0))&gt;0,"Y","")</f>
        <v/>
      </c>
      <c r="W32" s="286" t="str" cm="1">
        <f t="array" ref="W32">IF(SUMPRODUCT(IFERROR(--(INT(Attendance[Start time])=Training_Attendance[[#This Row],[Date]]),0)*IFERROR(--(ISNUMBER(SEARCH(W$1,Attendance[Attendees]))),0)*IFERROR(--(Attendance[Session Type]="Training"),0))&gt;0,"Y","")</f>
        <v/>
      </c>
      <c r="X32" s="286" t="str" cm="1">
        <f t="array" ref="X32">IF(SUMPRODUCT(IFERROR(--(INT(Attendance[Start time])=Training_Attendance[[#This Row],[Date]]),0)*IFERROR(--(ISNUMBER(SEARCH(X$1,Attendance[Attendees]))),0)*IFERROR(--(Attendance[Session Type]="Training"),0))&gt;0,"Y","")</f>
        <v/>
      </c>
      <c r="Y32" s="286" t="str" cm="1">
        <f t="array" ref="Y32">IF(SUMPRODUCT(IFERROR(--(INT(Attendance[Start time])=Training_Attendance[[#This Row],[Date]]),0)*IFERROR(--(ISNUMBER(SEARCH(Y$1,Attendance[Attendees]))),0)*IFERROR(--(Attendance[Session Type]="Training"),0))&gt;0,"Y","")</f>
        <v/>
      </c>
      <c r="Z32" s="286" t="str" cm="1">
        <f t="array" ref="Z32">IF(SUMPRODUCT(IFERROR(--(INT(Attendance[Start time])=Training_Attendance[[#This Row],[Date]]),0)*IFERROR(--(ISNUMBER(SEARCH(Z$1,Attendance[Attendees]))),0)*IFERROR(--(Attendance[Session Type]="Training"),0))&gt;0,"Y","")</f>
        <v/>
      </c>
      <c r="AA32" s="286" t="str" cm="1">
        <f t="array" ref="AA32">IF(SUMPRODUCT(IFERROR(--(INT(Attendance[Start time])=Training_Attendance[[#This Row],[Date]]),0)*IFERROR(--(ISNUMBER(SEARCH(AA$1,Attendance[Attendees]))),0)*IFERROR(--(Attendance[Session Type]="Training"),0))&gt;0,"Y","")</f>
        <v/>
      </c>
      <c r="AB32" s="286" t="str" cm="1">
        <f t="array" ref="AB32">IF(SUMPRODUCT(IFERROR(--(INT(Attendance[Start time])=Training_Attendance[[#This Row],[Date]]),0)*IFERROR(--(ISNUMBER(SEARCH(AB$1,Attendance[Attendees]))),0)*IFERROR(--(Attendance[Session Type]="Training"),0))&gt;0,"Y","")</f>
        <v/>
      </c>
      <c r="AC32" s="286" t="str" cm="1">
        <f t="array" ref="AC32">IF(SUMPRODUCT(IFERROR(--(INT(Attendance[Start time])=Training_Attendance[[#This Row],[Date]]),0)*IFERROR(--(ISNUMBER(SEARCH(AC$1,Attendance[Attendees]))),0)*IFERROR(--(Attendance[Session Type]="Training"),0))&gt;0,"Y","")</f>
        <v/>
      </c>
      <c r="AD32" s="265">
        <f>COUNTIF(Training_Attendance[[#This Row],[Alf M]:[Ronnie D]],"Y")</f>
        <v>0</v>
      </c>
      <c r="AE32" s="166"/>
    </row>
    <row r="33" spans="1:31" ht="16" customHeight="1" x14ac:dyDescent="0.35">
      <c r="A33" s="225">
        <v>46484</v>
      </c>
      <c r="B33" s="220">
        <f>Training_Attendance[[#This Row],[Date]]</f>
        <v>46484</v>
      </c>
      <c r="C33" s="166" t="s">
        <v>84</v>
      </c>
      <c r="D33" s="286" t="str" cm="1">
        <f t="array" ref="D33">IF(SUMPRODUCT(IFERROR(--(INT(Attendance[Start time])=Training_Attendance[[#This Row],[Date]]),0)*IFERROR(--(ISNUMBER(SEARCH(D$1,Attendance[Attendees]))),0)*IFERROR(--(Attendance[Session Type]="Training"),0))&gt;0,"Y","")</f>
        <v/>
      </c>
      <c r="E33" s="286" t="str" cm="1">
        <f t="array" ref="E33">IF(SUMPRODUCT(IFERROR(--(INT(Attendance[Start time])=Training_Attendance[[#This Row],[Date]]),0)*IFERROR(--(ISNUMBER(SEARCH(E$1,Attendance[Attendees]))),0)*IFERROR(--(Attendance[Session Type]="Training"),0))&gt;0,"Y","")</f>
        <v/>
      </c>
      <c r="F33" s="286" t="str" cm="1">
        <f t="array" ref="F33">IF(SUMPRODUCT(IFERROR(--(INT(Attendance[Start time])=Training_Attendance[[#This Row],[Date]]),0)*IFERROR(--(ISNUMBER(SEARCH(F$1,Attendance[Attendees]))),0)*IFERROR(--(Attendance[Session Type]="Training"),0))&gt;0,"Y","")</f>
        <v/>
      </c>
      <c r="G33" s="286" t="str" cm="1">
        <f t="array" ref="G33">IF(SUMPRODUCT(IFERROR(--(INT(Attendance[Start time])=Training_Attendance[[#This Row],[Date]]),0)*IFERROR(--(ISNUMBER(SEARCH(G$1,Attendance[Attendees]))),0)*IFERROR(--(Attendance[Session Type]="Training"),0))&gt;0,"Y","")</f>
        <v/>
      </c>
      <c r="H33" s="286" t="str" cm="1">
        <f t="array" ref="H33">IF(SUMPRODUCT(IFERROR(--(INT(Attendance[Start time])=Training_Attendance[[#This Row],[Date]]),0)*IFERROR(--(ISNUMBER(SEARCH(H$1,Attendance[Attendees]))),0)*IFERROR(--(Attendance[Session Type]="Training"),0))&gt;0,"Y","")</f>
        <v/>
      </c>
      <c r="I33" s="286" t="str" cm="1">
        <f t="array" ref="I33">IF(SUMPRODUCT(IFERROR(--(INT(Attendance[Start time])=Training_Attendance[[#This Row],[Date]]),0)*IFERROR(--(ISNUMBER(SEARCH(I$1,Attendance[Attendees]))),0)*IFERROR(--(Attendance[Session Type]="Training"),0))&gt;0,"Y","")</f>
        <v/>
      </c>
      <c r="J33" s="286" t="str" cm="1">
        <f t="array" ref="J33">IF(SUMPRODUCT(IFERROR(--(INT(Attendance[Start time])=Training_Attendance[[#This Row],[Date]]),0)*IFERROR(--(ISNUMBER(SEARCH(J$1,Attendance[Attendees]))),0)*IFERROR(--(Attendance[Session Type]="Training"),0))&gt;0,"Y","")</f>
        <v/>
      </c>
      <c r="K33" s="286" t="str" cm="1">
        <f t="array" ref="K33">IF(SUMPRODUCT(IFERROR(--(INT(Attendance[Start time])=Training_Attendance[[#This Row],[Date]]),0)*IFERROR(--(ISNUMBER(SEARCH(K$1,Attendance[Attendees]))),0)*IFERROR(--(Attendance[Session Type]="Training"),0))&gt;0,"Y","")</f>
        <v/>
      </c>
      <c r="L33" s="286" t="str" cm="1">
        <f t="array" ref="L33">IF(SUMPRODUCT(IFERROR(--(INT(Attendance[Start time])=Training_Attendance[[#This Row],[Date]]),0)*IFERROR(--(ISNUMBER(SEARCH(L$1,Attendance[Attendees]))),0)*IFERROR(--(Attendance[Session Type]="Training"),0))&gt;0,"Y","")</f>
        <v/>
      </c>
      <c r="M33" s="286" t="str" cm="1">
        <f t="array" ref="M33">IF(SUMPRODUCT(IFERROR(--(INT(Attendance[Start time])=Training_Attendance[[#This Row],[Date]]),0)*IFERROR(--(ISNUMBER(SEARCH(M$1,Attendance[Attendees]))),0)*IFERROR(--(Attendance[Session Type]="Training"),0))&gt;0,"Y","")</f>
        <v/>
      </c>
      <c r="N33" s="286" t="str" cm="1">
        <f t="array" ref="N33">IF(SUMPRODUCT(IFERROR(--(INT(Attendance[Start time])=Training_Attendance[[#This Row],[Date]]),0)*IFERROR(--(ISNUMBER(SEARCH(N$1,Attendance[Attendees]))),0)*IFERROR(--(Attendance[Session Type]="Training"),0))&gt;0,"Y","")</f>
        <v/>
      </c>
      <c r="O33" s="286" t="str" cm="1">
        <f t="array" ref="O33">IF(SUMPRODUCT(IFERROR(--(INT(Attendance[Start time])=Training_Attendance[[#This Row],[Date]]),0)*IFERROR(--(ISNUMBER(SEARCH(O$1,Attendance[Attendees]))),0)*IFERROR(--(Attendance[Session Type]="Training"),0))&gt;0,"Y","")</f>
        <v/>
      </c>
      <c r="P33" s="286" t="str" cm="1">
        <f t="array" ref="P33">IF(SUMPRODUCT(IFERROR(--(INT(Attendance[Start time])=Training_Attendance[[#This Row],[Date]]),0)*IFERROR(--(ISNUMBER(SEARCH(P$1,Attendance[Attendees]))),0)*IFERROR(--(Attendance[Session Type]="Training"),0))&gt;0,"Y","")</f>
        <v/>
      </c>
      <c r="Q33" s="286" t="str" cm="1">
        <f t="array" ref="Q33">IF(SUMPRODUCT(IFERROR(--(INT(Attendance[Start time])=Training_Attendance[[#This Row],[Date]]),0)*IFERROR(--(ISNUMBER(SEARCH(Q$1,Attendance[Attendees]))),0)*IFERROR(--(Attendance[Session Type]="Training"),0))&gt;0,"Y","")</f>
        <v/>
      </c>
      <c r="R33" s="286" t="str" cm="1">
        <f t="array" ref="R33">IF(SUMPRODUCT(IFERROR(--(INT(Attendance[Start time])=Training_Attendance[[#This Row],[Date]]),0)*IFERROR(--(ISNUMBER(SEARCH(R$1,Attendance[Attendees]))),0)*IFERROR(--(Attendance[Session Type]="Training"),0))&gt;0,"Y","")</f>
        <v/>
      </c>
      <c r="S33" s="286" t="str" cm="1">
        <f t="array" ref="S33">IF(SUMPRODUCT(IFERROR(--(INT(Attendance[Start time])=Training_Attendance[[#This Row],[Date]]),0)*IFERROR(--(ISNUMBER(SEARCH(S$1,Attendance[Attendees]))),0)*IFERROR(--(Attendance[Session Type]="Training"),0))&gt;0,"Y","")</f>
        <v/>
      </c>
      <c r="T33" s="286" t="str" cm="1">
        <f t="array" ref="T33">IF(SUMPRODUCT(IFERROR(--(INT(Attendance[Start time])=Training_Attendance[[#This Row],[Date]]),0)*IFERROR(--(ISNUMBER(SEARCH(T$1,Attendance[Attendees]))),0)*IFERROR(--(Attendance[Session Type]="Training"),0))&gt;0,"Y","")</f>
        <v/>
      </c>
      <c r="U33" s="286" t="str" cm="1">
        <f t="array" ref="U33">IF(SUMPRODUCT(IFERROR(--(INT(Attendance[Start time])=Training_Attendance[[#This Row],[Date]]),0)*IFERROR(--(ISNUMBER(SEARCH(U$1,Attendance[Attendees]))),0)*IFERROR(--(Attendance[Session Type]="Training"),0))&gt;0,"Y","")</f>
        <v/>
      </c>
      <c r="V33" s="286" t="str" cm="1">
        <f t="array" ref="V33">IF(SUMPRODUCT(IFERROR(--(INT(Attendance[Start time])=Training_Attendance[[#This Row],[Date]]),0)*IFERROR(--(ISNUMBER(SEARCH(V$1,Attendance[Attendees]))),0)*IFERROR(--(Attendance[Session Type]="Training"),0))&gt;0,"Y","")</f>
        <v/>
      </c>
      <c r="W33" s="286" t="str" cm="1">
        <f t="array" ref="W33">IF(SUMPRODUCT(IFERROR(--(INT(Attendance[Start time])=Training_Attendance[[#This Row],[Date]]),0)*IFERROR(--(ISNUMBER(SEARCH(W$1,Attendance[Attendees]))),0)*IFERROR(--(Attendance[Session Type]="Training"),0))&gt;0,"Y","")</f>
        <v/>
      </c>
      <c r="X33" s="286" t="str" cm="1">
        <f t="array" ref="X33">IF(SUMPRODUCT(IFERROR(--(INT(Attendance[Start time])=Training_Attendance[[#This Row],[Date]]),0)*IFERROR(--(ISNUMBER(SEARCH(X$1,Attendance[Attendees]))),0)*IFERROR(--(Attendance[Session Type]="Training"),0))&gt;0,"Y","")</f>
        <v/>
      </c>
      <c r="Y33" s="286" t="str" cm="1">
        <f t="array" ref="Y33">IF(SUMPRODUCT(IFERROR(--(INT(Attendance[Start time])=Training_Attendance[[#This Row],[Date]]),0)*IFERROR(--(ISNUMBER(SEARCH(Y$1,Attendance[Attendees]))),0)*IFERROR(--(Attendance[Session Type]="Training"),0))&gt;0,"Y","")</f>
        <v/>
      </c>
      <c r="Z33" s="286" t="str" cm="1">
        <f t="array" ref="Z33">IF(SUMPRODUCT(IFERROR(--(INT(Attendance[Start time])=Training_Attendance[[#This Row],[Date]]),0)*IFERROR(--(ISNUMBER(SEARCH(Z$1,Attendance[Attendees]))),0)*IFERROR(--(Attendance[Session Type]="Training"),0))&gt;0,"Y","")</f>
        <v/>
      </c>
      <c r="AA33" s="286" t="str" cm="1">
        <f t="array" ref="AA33">IF(SUMPRODUCT(IFERROR(--(INT(Attendance[Start time])=Training_Attendance[[#This Row],[Date]]),0)*IFERROR(--(ISNUMBER(SEARCH(AA$1,Attendance[Attendees]))),0)*IFERROR(--(Attendance[Session Type]="Training"),0))&gt;0,"Y","")</f>
        <v/>
      </c>
      <c r="AB33" s="286" t="str" cm="1">
        <f t="array" ref="AB33">IF(SUMPRODUCT(IFERROR(--(INT(Attendance[Start time])=Training_Attendance[[#This Row],[Date]]),0)*IFERROR(--(ISNUMBER(SEARCH(AB$1,Attendance[Attendees]))),0)*IFERROR(--(Attendance[Session Type]="Training"),0))&gt;0,"Y","")</f>
        <v/>
      </c>
      <c r="AC33" s="286" t="str" cm="1">
        <f t="array" ref="AC33">IF(SUMPRODUCT(IFERROR(--(INT(Attendance[Start time])=Training_Attendance[[#This Row],[Date]]),0)*IFERROR(--(ISNUMBER(SEARCH(AC$1,Attendance[Attendees]))),0)*IFERROR(--(Attendance[Session Type]="Training"),0))&gt;0,"Y","")</f>
        <v/>
      </c>
      <c r="AD33" s="265">
        <f>COUNTIF(Training_Attendance[[#This Row],[Alf M]:[Ronnie D]],"Y")</f>
        <v>0</v>
      </c>
      <c r="AE33" s="166"/>
    </row>
    <row r="34" spans="1:31" ht="16" customHeight="1" x14ac:dyDescent="0.35">
      <c r="A34" s="225">
        <v>46491</v>
      </c>
      <c r="B34" s="220">
        <f>Training_Attendance[[#This Row],[Date]]</f>
        <v>46491</v>
      </c>
      <c r="C34" s="166" t="s">
        <v>84</v>
      </c>
      <c r="D34" s="286" t="str" cm="1">
        <f t="array" ref="D34">IF(SUMPRODUCT(IFERROR(--(INT(Attendance[Start time])=Training_Attendance[[#This Row],[Date]]),0)*IFERROR(--(ISNUMBER(SEARCH(D$1,Attendance[Attendees]))),0)*IFERROR(--(Attendance[Session Type]="Training"),0))&gt;0,"Y","")</f>
        <v/>
      </c>
      <c r="E34" s="286" t="str" cm="1">
        <f t="array" ref="E34">IF(SUMPRODUCT(IFERROR(--(INT(Attendance[Start time])=Training_Attendance[[#This Row],[Date]]),0)*IFERROR(--(ISNUMBER(SEARCH(E$1,Attendance[Attendees]))),0)*IFERROR(--(Attendance[Session Type]="Training"),0))&gt;0,"Y","")</f>
        <v/>
      </c>
      <c r="F34" s="286" t="str" cm="1">
        <f t="array" ref="F34">IF(SUMPRODUCT(IFERROR(--(INT(Attendance[Start time])=Training_Attendance[[#This Row],[Date]]),0)*IFERROR(--(ISNUMBER(SEARCH(F$1,Attendance[Attendees]))),0)*IFERROR(--(Attendance[Session Type]="Training"),0))&gt;0,"Y","")</f>
        <v/>
      </c>
      <c r="G34" s="286" t="str" cm="1">
        <f t="array" ref="G34">IF(SUMPRODUCT(IFERROR(--(INT(Attendance[Start time])=Training_Attendance[[#This Row],[Date]]),0)*IFERROR(--(ISNUMBER(SEARCH(G$1,Attendance[Attendees]))),0)*IFERROR(--(Attendance[Session Type]="Training"),0))&gt;0,"Y","")</f>
        <v/>
      </c>
      <c r="H34" s="286" t="str" cm="1">
        <f t="array" ref="H34">IF(SUMPRODUCT(IFERROR(--(INT(Attendance[Start time])=Training_Attendance[[#This Row],[Date]]),0)*IFERROR(--(ISNUMBER(SEARCH(H$1,Attendance[Attendees]))),0)*IFERROR(--(Attendance[Session Type]="Training"),0))&gt;0,"Y","")</f>
        <v/>
      </c>
      <c r="I34" s="286" t="str" cm="1">
        <f t="array" ref="I34">IF(SUMPRODUCT(IFERROR(--(INT(Attendance[Start time])=Training_Attendance[[#This Row],[Date]]),0)*IFERROR(--(ISNUMBER(SEARCH(I$1,Attendance[Attendees]))),0)*IFERROR(--(Attendance[Session Type]="Training"),0))&gt;0,"Y","")</f>
        <v/>
      </c>
      <c r="J34" s="286" t="str" cm="1">
        <f t="array" ref="J34">IF(SUMPRODUCT(IFERROR(--(INT(Attendance[Start time])=Training_Attendance[[#This Row],[Date]]),0)*IFERROR(--(ISNUMBER(SEARCH(J$1,Attendance[Attendees]))),0)*IFERROR(--(Attendance[Session Type]="Training"),0))&gt;0,"Y","")</f>
        <v/>
      </c>
      <c r="K34" s="286" t="str" cm="1">
        <f t="array" ref="K34">IF(SUMPRODUCT(IFERROR(--(INT(Attendance[Start time])=Training_Attendance[[#This Row],[Date]]),0)*IFERROR(--(ISNUMBER(SEARCH(K$1,Attendance[Attendees]))),0)*IFERROR(--(Attendance[Session Type]="Training"),0))&gt;0,"Y","")</f>
        <v/>
      </c>
      <c r="L34" s="286" t="str" cm="1">
        <f t="array" ref="L34">IF(SUMPRODUCT(IFERROR(--(INT(Attendance[Start time])=Training_Attendance[[#This Row],[Date]]),0)*IFERROR(--(ISNUMBER(SEARCH(L$1,Attendance[Attendees]))),0)*IFERROR(--(Attendance[Session Type]="Training"),0))&gt;0,"Y","")</f>
        <v/>
      </c>
      <c r="M34" s="286" t="str" cm="1">
        <f t="array" ref="M34">IF(SUMPRODUCT(IFERROR(--(INT(Attendance[Start time])=Training_Attendance[[#This Row],[Date]]),0)*IFERROR(--(ISNUMBER(SEARCH(M$1,Attendance[Attendees]))),0)*IFERROR(--(Attendance[Session Type]="Training"),0))&gt;0,"Y","")</f>
        <v/>
      </c>
      <c r="N34" s="286" t="str" cm="1">
        <f t="array" ref="N34">IF(SUMPRODUCT(IFERROR(--(INT(Attendance[Start time])=Training_Attendance[[#This Row],[Date]]),0)*IFERROR(--(ISNUMBER(SEARCH(N$1,Attendance[Attendees]))),0)*IFERROR(--(Attendance[Session Type]="Training"),0))&gt;0,"Y","")</f>
        <v/>
      </c>
      <c r="O34" s="286" t="str" cm="1">
        <f t="array" ref="O34">IF(SUMPRODUCT(IFERROR(--(INT(Attendance[Start time])=Training_Attendance[[#This Row],[Date]]),0)*IFERROR(--(ISNUMBER(SEARCH(O$1,Attendance[Attendees]))),0)*IFERROR(--(Attendance[Session Type]="Training"),0))&gt;0,"Y","")</f>
        <v/>
      </c>
      <c r="P34" s="286" t="str" cm="1">
        <f t="array" ref="P34">IF(SUMPRODUCT(IFERROR(--(INT(Attendance[Start time])=Training_Attendance[[#This Row],[Date]]),0)*IFERROR(--(ISNUMBER(SEARCH(P$1,Attendance[Attendees]))),0)*IFERROR(--(Attendance[Session Type]="Training"),0))&gt;0,"Y","")</f>
        <v/>
      </c>
      <c r="Q34" s="286" t="str" cm="1">
        <f t="array" ref="Q34">IF(SUMPRODUCT(IFERROR(--(INT(Attendance[Start time])=Training_Attendance[[#This Row],[Date]]),0)*IFERROR(--(ISNUMBER(SEARCH(Q$1,Attendance[Attendees]))),0)*IFERROR(--(Attendance[Session Type]="Training"),0))&gt;0,"Y","")</f>
        <v/>
      </c>
      <c r="R34" s="286" t="str" cm="1">
        <f t="array" ref="R34">IF(SUMPRODUCT(IFERROR(--(INT(Attendance[Start time])=Training_Attendance[[#This Row],[Date]]),0)*IFERROR(--(ISNUMBER(SEARCH(R$1,Attendance[Attendees]))),0)*IFERROR(--(Attendance[Session Type]="Training"),0))&gt;0,"Y","")</f>
        <v/>
      </c>
      <c r="S34" s="286" t="str" cm="1">
        <f t="array" ref="S34">IF(SUMPRODUCT(IFERROR(--(INT(Attendance[Start time])=Training_Attendance[[#This Row],[Date]]),0)*IFERROR(--(ISNUMBER(SEARCH(S$1,Attendance[Attendees]))),0)*IFERROR(--(Attendance[Session Type]="Training"),0))&gt;0,"Y","")</f>
        <v/>
      </c>
      <c r="T34" s="286" t="str" cm="1">
        <f t="array" ref="T34">IF(SUMPRODUCT(IFERROR(--(INT(Attendance[Start time])=Training_Attendance[[#This Row],[Date]]),0)*IFERROR(--(ISNUMBER(SEARCH(T$1,Attendance[Attendees]))),0)*IFERROR(--(Attendance[Session Type]="Training"),0))&gt;0,"Y","")</f>
        <v/>
      </c>
      <c r="U34" s="286" t="str" cm="1">
        <f t="array" ref="U34">IF(SUMPRODUCT(IFERROR(--(INT(Attendance[Start time])=Training_Attendance[[#This Row],[Date]]),0)*IFERROR(--(ISNUMBER(SEARCH(U$1,Attendance[Attendees]))),0)*IFERROR(--(Attendance[Session Type]="Training"),0))&gt;0,"Y","")</f>
        <v/>
      </c>
      <c r="V34" s="286" t="str" cm="1">
        <f t="array" ref="V34">IF(SUMPRODUCT(IFERROR(--(INT(Attendance[Start time])=Training_Attendance[[#This Row],[Date]]),0)*IFERROR(--(ISNUMBER(SEARCH(V$1,Attendance[Attendees]))),0)*IFERROR(--(Attendance[Session Type]="Training"),0))&gt;0,"Y","")</f>
        <v/>
      </c>
      <c r="W34" s="286" t="str" cm="1">
        <f t="array" ref="W34">IF(SUMPRODUCT(IFERROR(--(INT(Attendance[Start time])=Training_Attendance[[#This Row],[Date]]),0)*IFERROR(--(ISNUMBER(SEARCH(W$1,Attendance[Attendees]))),0)*IFERROR(--(Attendance[Session Type]="Training"),0))&gt;0,"Y","")</f>
        <v/>
      </c>
      <c r="X34" s="286" t="str" cm="1">
        <f t="array" ref="X34">IF(SUMPRODUCT(IFERROR(--(INT(Attendance[Start time])=Training_Attendance[[#This Row],[Date]]),0)*IFERROR(--(ISNUMBER(SEARCH(X$1,Attendance[Attendees]))),0)*IFERROR(--(Attendance[Session Type]="Training"),0))&gt;0,"Y","")</f>
        <v/>
      </c>
      <c r="Y34" s="286" t="str" cm="1">
        <f t="array" ref="Y34">IF(SUMPRODUCT(IFERROR(--(INT(Attendance[Start time])=Training_Attendance[[#This Row],[Date]]),0)*IFERROR(--(ISNUMBER(SEARCH(Y$1,Attendance[Attendees]))),0)*IFERROR(--(Attendance[Session Type]="Training"),0))&gt;0,"Y","")</f>
        <v/>
      </c>
      <c r="Z34" s="286" t="str" cm="1">
        <f t="array" ref="Z34">IF(SUMPRODUCT(IFERROR(--(INT(Attendance[Start time])=Training_Attendance[[#This Row],[Date]]),0)*IFERROR(--(ISNUMBER(SEARCH(Z$1,Attendance[Attendees]))),0)*IFERROR(--(Attendance[Session Type]="Training"),0))&gt;0,"Y","")</f>
        <v/>
      </c>
      <c r="AA34" s="286" t="str" cm="1">
        <f t="array" ref="AA34">IF(SUMPRODUCT(IFERROR(--(INT(Attendance[Start time])=Training_Attendance[[#This Row],[Date]]),0)*IFERROR(--(ISNUMBER(SEARCH(AA$1,Attendance[Attendees]))),0)*IFERROR(--(Attendance[Session Type]="Training"),0))&gt;0,"Y","")</f>
        <v/>
      </c>
      <c r="AB34" s="286" t="str" cm="1">
        <f t="array" ref="AB34">IF(SUMPRODUCT(IFERROR(--(INT(Attendance[Start time])=Training_Attendance[[#This Row],[Date]]),0)*IFERROR(--(ISNUMBER(SEARCH(AB$1,Attendance[Attendees]))),0)*IFERROR(--(Attendance[Session Type]="Training"),0))&gt;0,"Y","")</f>
        <v/>
      </c>
      <c r="AC34" s="286" t="str" cm="1">
        <f t="array" ref="AC34">IF(SUMPRODUCT(IFERROR(--(INT(Attendance[Start time])=Training_Attendance[[#This Row],[Date]]),0)*IFERROR(--(ISNUMBER(SEARCH(AC$1,Attendance[Attendees]))),0)*IFERROR(--(Attendance[Session Type]="Training"),0))&gt;0,"Y","")</f>
        <v/>
      </c>
      <c r="AD34" s="265">
        <f>COUNTIF(Training_Attendance[[#This Row],[Alf M]:[Ronnie D]],"Y")</f>
        <v>0</v>
      </c>
      <c r="AE34" s="166"/>
    </row>
    <row r="35" spans="1:31" ht="16" customHeight="1" x14ac:dyDescent="0.35">
      <c r="A35" s="225">
        <v>46498</v>
      </c>
      <c r="B35" s="220">
        <f>Training_Attendance[[#This Row],[Date]]</f>
        <v>46498</v>
      </c>
      <c r="C35" s="166" t="s">
        <v>84</v>
      </c>
      <c r="D35" s="286" t="str" cm="1">
        <f t="array" ref="D35">IF(SUMPRODUCT(IFERROR(--(INT(Attendance[Start time])=Training_Attendance[[#This Row],[Date]]),0)*IFERROR(--(ISNUMBER(SEARCH(D$1,Attendance[Attendees]))),0)*IFERROR(--(Attendance[Session Type]="Training"),0))&gt;0,"Y","")</f>
        <v/>
      </c>
      <c r="E35" s="286" t="str" cm="1">
        <f t="array" ref="E35">IF(SUMPRODUCT(IFERROR(--(INT(Attendance[Start time])=Training_Attendance[[#This Row],[Date]]),0)*IFERROR(--(ISNUMBER(SEARCH(E$1,Attendance[Attendees]))),0)*IFERROR(--(Attendance[Session Type]="Training"),0))&gt;0,"Y","")</f>
        <v/>
      </c>
      <c r="F35" s="286" t="str" cm="1">
        <f t="array" ref="F35">IF(SUMPRODUCT(IFERROR(--(INT(Attendance[Start time])=Training_Attendance[[#This Row],[Date]]),0)*IFERROR(--(ISNUMBER(SEARCH(F$1,Attendance[Attendees]))),0)*IFERROR(--(Attendance[Session Type]="Training"),0))&gt;0,"Y","")</f>
        <v/>
      </c>
      <c r="G35" s="286" t="str" cm="1">
        <f t="array" ref="G35">IF(SUMPRODUCT(IFERROR(--(INT(Attendance[Start time])=Training_Attendance[[#This Row],[Date]]),0)*IFERROR(--(ISNUMBER(SEARCH(G$1,Attendance[Attendees]))),0)*IFERROR(--(Attendance[Session Type]="Training"),0))&gt;0,"Y","")</f>
        <v/>
      </c>
      <c r="H35" s="286" t="str" cm="1">
        <f t="array" ref="H35">IF(SUMPRODUCT(IFERROR(--(INT(Attendance[Start time])=Training_Attendance[[#This Row],[Date]]),0)*IFERROR(--(ISNUMBER(SEARCH(H$1,Attendance[Attendees]))),0)*IFERROR(--(Attendance[Session Type]="Training"),0))&gt;0,"Y","")</f>
        <v/>
      </c>
      <c r="I35" s="286" t="str" cm="1">
        <f t="array" ref="I35">IF(SUMPRODUCT(IFERROR(--(INT(Attendance[Start time])=Training_Attendance[[#This Row],[Date]]),0)*IFERROR(--(ISNUMBER(SEARCH(I$1,Attendance[Attendees]))),0)*IFERROR(--(Attendance[Session Type]="Training"),0))&gt;0,"Y","")</f>
        <v/>
      </c>
      <c r="J35" s="286" t="str" cm="1">
        <f t="array" ref="J35">IF(SUMPRODUCT(IFERROR(--(INT(Attendance[Start time])=Training_Attendance[[#This Row],[Date]]),0)*IFERROR(--(ISNUMBER(SEARCH(J$1,Attendance[Attendees]))),0)*IFERROR(--(Attendance[Session Type]="Training"),0))&gt;0,"Y","")</f>
        <v/>
      </c>
      <c r="K35" s="286" t="str" cm="1">
        <f t="array" ref="K35">IF(SUMPRODUCT(IFERROR(--(INT(Attendance[Start time])=Training_Attendance[[#This Row],[Date]]),0)*IFERROR(--(ISNUMBER(SEARCH(K$1,Attendance[Attendees]))),0)*IFERROR(--(Attendance[Session Type]="Training"),0))&gt;0,"Y","")</f>
        <v/>
      </c>
      <c r="L35" s="286" t="str" cm="1">
        <f t="array" ref="L35">IF(SUMPRODUCT(IFERROR(--(INT(Attendance[Start time])=Training_Attendance[[#This Row],[Date]]),0)*IFERROR(--(ISNUMBER(SEARCH(L$1,Attendance[Attendees]))),0)*IFERROR(--(Attendance[Session Type]="Training"),0))&gt;0,"Y","")</f>
        <v/>
      </c>
      <c r="M35" s="286" t="str" cm="1">
        <f t="array" ref="M35">IF(SUMPRODUCT(IFERROR(--(INT(Attendance[Start time])=Training_Attendance[[#This Row],[Date]]),0)*IFERROR(--(ISNUMBER(SEARCH(M$1,Attendance[Attendees]))),0)*IFERROR(--(Attendance[Session Type]="Training"),0))&gt;0,"Y","")</f>
        <v/>
      </c>
      <c r="N35" s="286" t="str" cm="1">
        <f t="array" ref="N35">IF(SUMPRODUCT(IFERROR(--(INT(Attendance[Start time])=Training_Attendance[[#This Row],[Date]]),0)*IFERROR(--(ISNUMBER(SEARCH(N$1,Attendance[Attendees]))),0)*IFERROR(--(Attendance[Session Type]="Training"),0))&gt;0,"Y","")</f>
        <v/>
      </c>
      <c r="O35" s="286" t="str" cm="1">
        <f t="array" ref="O35">IF(SUMPRODUCT(IFERROR(--(INT(Attendance[Start time])=Training_Attendance[[#This Row],[Date]]),0)*IFERROR(--(ISNUMBER(SEARCH(O$1,Attendance[Attendees]))),0)*IFERROR(--(Attendance[Session Type]="Training"),0))&gt;0,"Y","")</f>
        <v/>
      </c>
      <c r="P35" s="286" t="str" cm="1">
        <f t="array" ref="P35">IF(SUMPRODUCT(IFERROR(--(INT(Attendance[Start time])=Training_Attendance[[#This Row],[Date]]),0)*IFERROR(--(ISNUMBER(SEARCH(P$1,Attendance[Attendees]))),0)*IFERROR(--(Attendance[Session Type]="Training"),0))&gt;0,"Y","")</f>
        <v/>
      </c>
      <c r="Q35" s="286" t="str" cm="1">
        <f t="array" ref="Q35">IF(SUMPRODUCT(IFERROR(--(INT(Attendance[Start time])=Training_Attendance[[#This Row],[Date]]),0)*IFERROR(--(ISNUMBER(SEARCH(Q$1,Attendance[Attendees]))),0)*IFERROR(--(Attendance[Session Type]="Training"),0))&gt;0,"Y","")</f>
        <v/>
      </c>
      <c r="R35" s="286" t="str" cm="1">
        <f t="array" ref="R35">IF(SUMPRODUCT(IFERROR(--(INT(Attendance[Start time])=Training_Attendance[[#This Row],[Date]]),0)*IFERROR(--(ISNUMBER(SEARCH(R$1,Attendance[Attendees]))),0)*IFERROR(--(Attendance[Session Type]="Training"),0))&gt;0,"Y","")</f>
        <v/>
      </c>
      <c r="S35" s="286" t="str" cm="1">
        <f t="array" ref="S35">IF(SUMPRODUCT(IFERROR(--(INT(Attendance[Start time])=Training_Attendance[[#This Row],[Date]]),0)*IFERROR(--(ISNUMBER(SEARCH(S$1,Attendance[Attendees]))),0)*IFERROR(--(Attendance[Session Type]="Training"),0))&gt;0,"Y","")</f>
        <v/>
      </c>
      <c r="T35" s="286" t="str" cm="1">
        <f t="array" ref="T35">IF(SUMPRODUCT(IFERROR(--(INT(Attendance[Start time])=Training_Attendance[[#This Row],[Date]]),0)*IFERROR(--(ISNUMBER(SEARCH(T$1,Attendance[Attendees]))),0)*IFERROR(--(Attendance[Session Type]="Training"),0))&gt;0,"Y","")</f>
        <v/>
      </c>
      <c r="U35" s="286" t="str" cm="1">
        <f t="array" ref="U35">IF(SUMPRODUCT(IFERROR(--(INT(Attendance[Start time])=Training_Attendance[[#This Row],[Date]]),0)*IFERROR(--(ISNUMBER(SEARCH(U$1,Attendance[Attendees]))),0)*IFERROR(--(Attendance[Session Type]="Training"),0))&gt;0,"Y","")</f>
        <v/>
      </c>
      <c r="V35" s="286" t="str" cm="1">
        <f t="array" ref="V35">IF(SUMPRODUCT(IFERROR(--(INT(Attendance[Start time])=Training_Attendance[[#This Row],[Date]]),0)*IFERROR(--(ISNUMBER(SEARCH(V$1,Attendance[Attendees]))),0)*IFERROR(--(Attendance[Session Type]="Training"),0))&gt;0,"Y","")</f>
        <v/>
      </c>
      <c r="W35" s="286" t="str" cm="1">
        <f t="array" ref="W35">IF(SUMPRODUCT(IFERROR(--(INT(Attendance[Start time])=Training_Attendance[[#This Row],[Date]]),0)*IFERROR(--(ISNUMBER(SEARCH(W$1,Attendance[Attendees]))),0)*IFERROR(--(Attendance[Session Type]="Training"),0))&gt;0,"Y","")</f>
        <v/>
      </c>
      <c r="X35" s="286" t="str" cm="1">
        <f t="array" ref="X35">IF(SUMPRODUCT(IFERROR(--(INT(Attendance[Start time])=Training_Attendance[[#This Row],[Date]]),0)*IFERROR(--(ISNUMBER(SEARCH(X$1,Attendance[Attendees]))),0)*IFERROR(--(Attendance[Session Type]="Training"),0))&gt;0,"Y","")</f>
        <v/>
      </c>
      <c r="Y35" s="286" t="str" cm="1">
        <f t="array" ref="Y35">IF(SUMPRODUCT(IFERROR(--(INT(Attendance[Start time])=Training_Attendance[[#This Row],[Date]]),0)*IFERROR(--(ISNUMBER(SEARCH(Y$1,Attendance[Attendees]))),0)*IFERROR(--(Attendance[Session Type]="Training"),0))&gt;0,"Y","")</f>
        <v/>
      </c>
      <c r="Z35" s="286" t="str" cm="1">
        <f t="array" ref="Z35">IF(SUMPRODUCT(IFERROR(--(INT(Attendance[Start time])=Training_Attendance[[#This Row],[Date]]),0)*IFERROR(--(ISNUMBER(SEARCH(Z$1,Attendance[Attendees]))),0)*IFERROR(--(Attendance[Session Type]="Training"),0))&gt;0,"Y","")</f>
        <v/>
      </c>
      <c r="AA35" s="286" t="str" cm="1">
        <f t="array" ref="AA35">IF(SUMPRODUCT(IFERROR(--(INT(Attendance[Start time])=Training_Attendance[[#This Row],[Date]]),0)*IFERROR(--(ISNUMBER(SEARCH(AA$1,Attendance[Attendees]))),0)*IFERROR(--(Attendance[Session Type]="Training"),0))&gt;0,"Y","")</f>
        <v/>
      </c>
      <c r="AB35" s="286" t="str" cm="1">
        <f t="array" ref="AB35">IF(SUMPRODUCT(IFERROR(--(INT(Attendance[Start time])=Training_Attendance[[#This Row],[Date]]),0)*IFERROR(--(ISNUMBER(SEARCH(AB$1,Attendance[Attendees]))),0)*IFERROR(--(Attendance[Session Type]="Training"),0))&gt;0,"Y","")</f>
        <v/>
      </c>
      <c r="AC35" s="286" t="str" cm="1">
        <f t="array" ref="AC35">IF(SUMPRODUCT(IFERROR(--(INT(Attendance[Start time])=Training_Attendance[[#This Row],[Date]]),0)*IFERROR(--(ISNUMBER(SEARCH(AC$1,Attendance[Attendees]))),0)*IFERROR(--(Attendance[Session Type]="Training"),0))&gt;0,"Y","")</f>
        <v/>
      </c>
      <c r="AD35" s="265">
        <f>COUNTIF(Training_Attendance[[#This Row],[Alf M]:[Ronnie D]],"Y")</f>
        <v>0</v>
      </c>
      <c r="AE35" s="166"/>
    </row>
    <row r="36" spans="1:31" ht="16" customHeight="1" x14ac:dyDescent="0.35">
      <c r="A36" s="225">
        <v>46505</v>
      </c>
      <c r="B36" s="220">
        <f>Training_Attendance[[#This Row],[Date]]</f>
        <v>46505</v>
      </c>
      <c r="C36" s="166" t="s">
        <v>84</v>
      </c>
      <c r="D36" s="286" t="str" cm="1">
        <f t="array" ref="D36">IF(SUMPRODUCT(IFERROR(--(INT(Attendance[Start time])=Training_Attendance[[#This Row],[Date]]),0)*IFERROR(--(ISNUMBER(SEARCH(D$1,Attendance[Attendees]))),0)*IFERROR(--(Attendance[Session Type]="Training"),0))&gt;0,"Y","")</f>
        <v/>
      </c>
      <c r="E36" s="286" t="str" cm="1">
        <f t="array" ref="E36">IF(SUMPRODUCT(IFERROR(--(INT(Attendance[Start time])=Training_Attendance[[#This Row],[Date]]),0)*IFERROR(--(ISNUMBER(SEARCH(E$1,Attendance[Attendees]))),0)*IFERROR(--(Attendance[Session Type]="Training"),0))&gt;0,"Y","")</f>
        <v/>
      </c>
      <c r="F36" s="286" t="str" cm="1">
        <f t="array" ref="F36">IF(SUMPRODUCT(IFERROR(--(INT(Attendance[Start time])=Training_Attendance[[#This Row],[Date]]),0)*IFERROR(--(ISNUMBER(SEARCH(F$1,Attendance[Attendees]))),0)*IFERROR(--(Attendance[Session Type]="Training"),0))&gt;0,"Y","")</f>
        <v/>
      </c>
      <c r="G36" s="286" t="str" cm="1">
        <f t="array" ref="G36">IF(SUMPRODUCT(IFERROR(--(INT(Attendance[Start time])=Training_Attendance[[#This Row],[Date]]),0)*IFERROR(--(ISNUMBER(SEARCH(G$1,Attendance[Attendees]))),0)*IFERROR(--(Attendance[Session Type]="Training"),0))&gt;0,"Y","")</f>
        <v/>
      </c>
      <c r="H36" s="286" t="str" cm="1">
        <f t="array" ref="H36">IF(SUMPRODUCT(IFERROR(--(INT(Attendance[Start time])=Training_Attendance[[#This Row],[Date]]),0)*IFERROR(--(ISNUMBER(SEARCH(H$1,Attendance[Attendees]))),0)*IFERROR(--(Attendance[Session Type]="Training"),0))&gt;0,"Y","")</f>
        <v/>
      </c>
      <c r="I36" s="286" t="str" cm="1">
        <f t="array" ref="I36">IF(SUMPRODUCT(IFERROR(--(INT(Attendance[Start time])=Training_Attendance[[#This Row],[Date]]),0)*IFERROR(--(ISNUMBER(SEARCH(I$1,Attendance[Attendees]))),0)*IFERROR(--(Attendance[Session Type]="Training"),0))&gt;0,"Y","")</f>
        <v/>
      </c>
      <c r="J36" s="286" t="str" cm="1">
        <f t="array" ref="J36">IF(SUMPRODUCT(IFERROR(--(INT(Attendance[Start time])=Training_Attendance[[#This Row],[Date]]),0)*IFERROR(--(ISNUMBER(SEARCH(J$1,Attendance[Attendees]))),0)*IFERROR(--(Attendance[Session Type]="Training"),0))&gt;0,"Y","")</f>
        <v/>
      </c>
      <c r="K36" s="286" t="str" cm="1">
        <f t="array" ref="K36">IF(SUMPRODUCT(IFERROR(--(INT(Attendance[Start time])=Training_Attendance[[#This Row],[Date]]),0)*IFERROR(--(ISNUMBER(SEARCH(K$1,Attendance[Attendees]))),0)*IFERROR(--(Attendance[Session Type]="Training"),0))&gt;0,"Y","")</f>
        <v/>
      </c>
      <c r="L36" s="286" t="str" cm="1">
        <f t="array" ref="L36">IF(SUMPRODUCT(IFERROR(--(INT(Attendance[Start time])=Training_Attendance[[#This Row],[Date]]),0)*IFERROR(--(ISNUMBER(SEARCH(L$1,Attendance[Attendees]))),0)*IFERROR(--(Attendance[Session Type]="Training"),0))&gt;0,"Y","")</f>
        <v/>
      </c>
      <c r="M36" s="286" t="str" cm="1">
        <f t="array" ref="M36">IF(SUMPRODUCT(IFERROR(--(INT(Attendance[Start time])=Training_Attendance[[#This Row],[Date]]),0)*IFERROR(--(ISNUMBER(SEARCH(M$1,Attendance[Attendees]))),0)*IFERROR(--(Attendance[Session Type]="Training"),0))&gt;0,"Y","")</f>
        <v/>
      </c>
      <c r="N36" s="286" t="str" cm="1">
        <f t="array" ref="N36">IF(SUMPRODUCT(IFERROR(--(INT(Attendance[Start time])=Training_Attendance[[#This Row],[Date]]),0)*IFERROR(--(ISNUMBER(SEARCH(N$1,Attendance[Attendees]))),0)*IFERROR(--(Attendance[Session Type]="Training"),0))&gt;0,"Y","")</f>
        <v/>
      </c>
      <c r="O36" s="286" t="str" cm="1">
        <f t="array" ref="O36">IF(SUMPRODUCT(IFERROR(--(INT(Attendance[Start time])=Training_Attendance[[#This Row],[Date]]),0)*IFERROR(--(ISNUMBER(SEARCH(O$1,Attendance[Attendees]))),0)*IFERROR(--(Attendance[Session Type]="Training"),0))&gt;0,"Y","")</f>
        <v/>
      </c>
      <c r="P36" s="286" t="str" cm="1">
        <f t="array" ref="P36">IF(SUMPRODUCT(IFERROR(--(INT(Attendance[Start time])=Training_Attendance[[#This Row],[Date]]),0)*IFERROR(--(ISNUMBER(SEARCH(P$1,Attendance[Attendees]))),0)*IFERROR(--(Attendance[Session Type]="Training"),0))&gt;0,"Y","")</f>
        <v/>
      </c>
      <c r="Q36" s="286" t="str" cm="1">
        <f t="array" ref="Q36">IF(SUMPRODUCT(IFERROR(--(INT(Attendance[Start time])=Training_Attendance[[#This Row],[Date]]),0)*IFERROR(--(ISNUMBER(SEARCH(Q$1,Attendance[Attendees]))),0)*IFERROR(--(Attendance[Session Type]="Training"),0))&gt;0,"Y","")</f>
        <v/>
      </c>
      <c r="R36" s="286" t="str" cm="1">
        <f t="array" ref="R36">IF(SUMPRODUCT(IFERROR(--(INT(Attendance[Start time])=Training_Attendance[[#This Row],[Date]]),0)*IFERROR(--(ISNUMBER(SEARCH(R$1,Attendance[Attendees]))),0)*IFERROR(--(Attendance[Session Type]="Training"),0))&gt;0,"Y","")</f>
        <v/>
      </c>
      <c r="S36" s="286" t="str" cm="1">
        <f t="array" ref="S36">IF(SUMPRODUCT(IFERROR(--(INT(Attendance[Start time])=Training_Attendance[[#This Row],[Date]]),0)*IFERROR(--(ISNUMBER(SEARCH(S$1,Attendance[Attendees]))),0)*IFERROR(--(Attendance[Session Type]="Training"),0))&gt;0,"Y","")</f>
        <v/>
      </c>
      <c r="T36" s="286" t="str" cm="1">
        <f t="array" ref="T36">IF(SUMPRODUCT(IFERROR(--(INT(Attendance[Start time])=Training_Attendance[[#This Row],[Date]]),0)*IFERROR(--(ISNUMBER(SEARCH(T$1,Attendance[Attendees]))),0)*IFERROR(--(Attendance[Session Type]="Training"),0))&gt;0,"Y","")</f>
        <v/>
      </c>
      <c r="U36" s="286" t="str" cm="1">
        <f t="array" ref="U36">IF(SUMPRODUCT(IFERROR(--(INT(Attendance[Start time])=Training_Attendance[[#This Row],[Date]]),0)*IFERROR(--(ISNUMBER(SEARCH(U$1,Attendance[Attendees]))),0)*IFERROR(--(Attendance[Session Type]="Training"),0))&gt;0,"Y","")</f>
        <v/>
      </c>
      <c r="V36" s="286" t="str" cm="1">
        <f t="array" ref="V36">IF(SUMPRODUCT(IFERROR(--(INT(Attendance[Start time])=Training_Attendance[[#This Row],[Date]]),0)*IFERROR(--(ISNUMBER(SEARCH(V$1,Attendance[Attendees]))),0)*IFERROR(--(Attendance[Session Type]="Training"),0))&gt;0,"Y","")</f>
        <v/>
      </c>
      <c r="W36" s="286" t="str" cm="1">
        <f t="array" ref="W36">IF(SUMPRODUCT(IFERROR(--(INT(Attendance[Start time])=Training_Attendance[[#This Row],[Date]]),0)*IFERROR(--(ISNUMBER(SEARCH(W$1,Attendance[Attendees]))),0)*IFERROR(--(Attendance[Session Type]="Training"),0))&gt;0,"Y","")</f>
        <v/>
      </c>
      <c r="X36" s="286" t="str" cm="1">
        <f t="array" ref="X36">IF(SUMPRODUCT(IFERROR(--(INT(Attendance[Start time])=Training_Attendance[[#This Row],[Date]]),0)*IFERROR(--(ISNUMBER(SEARCH(X$1,Attendance[Attendees]))),0)*IFERROR(--(Attendance[Session Type]="Training"),0))&gt;0,"Y","")</f>
        <v/>
      </c>
      <c r="Y36" s="286" t="str" cm="1">
        <f t="array" ref="Y36">IF(SUMPRODUCT(IFERROR(--(INT(Attendance[Start time])=Training_Attendance[[#This Row],[Date]]),0)*IFERROR(--(ISNUMBER(SEARCH(Y$1,Attendance[Attendees]))),0)*IFERROR(--(Attendance[Session Type]="Training"),0))&gt;0,"Y","")</f>
        <v/>
      </c>
      <c r="Z36" s="286" t="str" cm="1">
        <f t="array" ref="Z36">IF(SUMPRODUCT(IFERROR(--(INT(Attendance[Start time])=Training_Attendance[[#This Row],[Date]]),0)*IFERROR(--(ISNUMBER(SEARCH(Z$1,Attendance[Attendees]))),0)*IFERROR(--(Attendance[Session Type]="Training"),0))&gt;0,"Y","")</f>
        <v/>
      </c>
      <c r="AA36" s="286" t="str" cm="1">
        <f t="array" ref="AA36">IF(SUMPRODUCT(IFERROR(--(INT(Attendance[Start time])=Training_Attendance[[#This Row],[Date]]),0)*IFERROR(--(ISNUMBER(SEARCH(AA$1,Attendance[Attendees]))),0)*IFERROR(--(Attendance[Session Type]="Training"),0))&gt;0,"Y","")</f>
        <v/>
      </c>
      <c r="AB36" s="286" t="str" cm="1">
        <f t="array" ref="AB36">IF(SUMPRODUCT(IFERROR(--(INT(Attendance[Start time])=Training_Attendance[[#This Row],[Date]]),0)*IFERROR(--(ISNUMBER(SEARCH(AB$1,Attendance[Attendees]))),0)*IFERROR(--(Attendance[Session Type]="Training"),0))&gt;0,"Y","")</f>
        <v/>
      </c>
      <c r="AC36" s="286" t="str" cm="1">
        <f t="array" ref="AC36">IF(SUMPRODUCT(IFERROR(--(INT(Attendance[Start time])=Training_Attendance[[#This Row],[Date]]),0)*IFERROR(--(ISNUMBER(SEARCH(AC$1,Attendance[Attendees]))),0)*IFERROR(--(Attendance[Session Type]="Training"),0))&gt;0,"Y","")</f>
        <v/>
      </c>
      <c r="AD36" s="265">
        <f>COUNTIF(Training_Attendance[[#This Row],[Alf M]:[Ronnie D]],"Y")</f>
        <v>0</v>
      </c>
      <c r="AE36" s="166"/>
    </row>
    <row r="37" spans="1:31" ht="16" customHeight="1" x14ac:dyDescent="0.35">
      <c r="A37" s="225">
        <v>46512</v>
      </c>
      <c r="B37" s="220">
        <f>Training_Attendance[[#This Row],[Date]]</f>
        <v>46512</v>
      </c>
      <c r="C37" s="166" t="s">
        <v>84</v>
      </c>
      <c r="D37" s="286" t="str" cm="1">
        <f t="array" ref="D37">IF(SUMPRODUCT(IFERROR(--(INT(Attendance[Start time])=Training_Attendance[[#This Row],[Date]]),0)*IFERROR(--(ISNUMBER(SEARCH(D$1,Attendance[Attendees]))),0)*IFERROR(--(Attendance[Session Type]="Training"),0))&gt;0,"Y","")</f>
        <v/>
      </c>
      <c r="E37" s="286" t="str" cm="1">
        <f t="array" ref="E37">IF(SUMPRODUCT(IFERROR(--(INT(Attendance[Start time])=Training_Attendance[[#This Row],[Date]]),0)*IFERROR(--(ISNUMBER(SEARCH(E$1,Attendance[Attendees]))),0)*IFERROR(--(Attendance[Session Type]="Training"),0))&gt;0,"Y","")</f>
        <v/>
      </c>
      <c r="F37" s="286" t="str" cm="1">
        <f t="array" ref="F37">IF(SUMPRODUCT(IFERROR(--(INT(Attendance[Start time])=Training_Attendance[[#This Row],[Date]]),0)*IFERROR(--(ISNUMBER(SEARCH(F$1,Attendance[Attendees]))),0)*IFERROR(--(Attendance[Session Type]="Training"),0))&gt;0,"Y","")</f>
        <v/>
      </c>
      <c r="G37" s="286" t="str" cm="1">
        <f t="array" ref="G37">IF(SUMPRODUCT(IFERROR(--(INT(Attendance[Start time])=Training_Attendance[[#This Row],[Date]]),0)*IFERROR(--(ISNUMBER(SEARCH(G$1,Attendance[Attendees]))),0)*IFERROR(--(Attendance[Session Type]="Training"),0))&gt;0,"Y","")</f>
        <v/>
      </c>
      <c r="H37" s="286" t="str" cm="1">
        <f t="array" ref="H37">IF(SUMPRODUCT(IFERROR(--(INT(Attendance[Start time])=Training_Attendance[[#This Row],[Date]]),0)*IFERROR(--(ISNUMBER(SEARCH(H$1,Attendance[Attendees]))),0)*IFERROR(--(Attendance[Session Type]="Training"),0))&gt;0,"Y","")</f>
        <v/>
      </c>
      <c r="I37" s="286" t="str" cm="1">
        <f t="array" ref="I37">IF(SUMPRODUCT(IFERROR(--(INT(Attendance[Start time])=Training_Attendance[[#This Row],[Date]]),0)*IFERROR(--(ISNUMBER(SEARCH(I$1,Attendance[Attendees]))),0)*IFERROR(--(Attendance[Session Type]="Training"),0))&gt;0,"Y","")</f>
        <v/>
      </c>
      <c r="J37" s="286" t="str" cm="1">
        <f t="array" ref="J37">IF(SUMPRODUCT(IFERROR(--(INT(Attendance[Start time])=Training_Attendance[[#This Row],[Date]]),0)*IFERROR(--(ISNUMBER(SEARCH(J$1,Attendance[Attendees]))),0)*IFERROR(--(Attendance[Session Type]="Training"),0))&gt;0,"Y","")</f>
        <v/>
      </c>
      <c r="K37" s="286" t="str" cm="1">
        <f t="array" ref="K37">IF(SUMPRODUCT(IFERROR(--(INT(Attendance[Start time])=Training_Attendance[[#This Row],[Date]]),0)*IFERROR(--(ISNUMBER(SEARCH(K$1,Attendance[Attendees]))),0)*IFERROR(--(Attendance[Session Type]="Training"),0))&gt;0,"Y","")</f>
        <v/>
      </c>
      <c r="L37" s="286" t="str" cm="1">
        <f t="array" ref="L37">IF(SUMPRODUCT(IFERROR(--(INT(Attendance[Start time])=Training_Attendance[[#This Row],[Date]]),0)*IFERROR(--(ISNUMBER(SEARCH(L$1,Attendance[Attendees]))),0)*IFERROR(--(Attendance[Session Type]="Training"),0))&gt;0,"Y","")</f>
        <v/>
      </c>
      <c r="M37" s="286" t="str" cm="1">
        <f t="array" ref="M37">IF(SUMPRODUCT(IFERROR(--(INT(Attendance[Start time])=Training_Attendance[[#This Row],[Date]]),0)*IFERROR(--(ISNUMBER(SEARCH(M$1,Attendance[Attendees]))),0)*IFERROR(--(Attendance[Session Type]="Training"),0))&gt;0,"Y","")</f>
        <v/>
      </c>
      <c r="N37" s="286" t="str" cm="1">
        <f t="array" ref="N37">IF(SUMPRODUCT(IFERROR(--(INT(Attendance[Start time])=Training_Attendance[[#This Row],[Date]]),0)*IFERROR(--(ISNUMBER(SEARCH(N$1,Attendance[Attendees]))),0)*IFERROR(--(Attendance[Session Type]="Training"),0))&gt;0,"Y","")</f>
        <v/>
      </c>
      <c r="O37" s="286" t="str" cm="1">
        <f t="array" ref="O37">IF(SUMPRODUCT(IFERROR(--(INT(Attendance[Start time])=Training_Attendance[[#This Row],[Date]]),0)*IFERROR(--(ISNUMBER(SEARCH(O$1,Attendance[Attendees]))),0)*IFERROR(--(Attendance[Session Type]="Training"),0))&gt;0,"Y","")</f>
        <v/>
      </c>
      <c r="P37" s="286" t="str" cm="1">
        <f t="array" ref="P37">IF(SUMPRODUCT(IFERROR(--(INT(Attendance[Start time])=Training_Attendance[[#This Row],[Date]]),0)*IFERROR(--(ISNUMBER(SEARCH(P$1,Attendance[Attendees]))),0)*IFERROR(--(Attendance[Session Type]="Training"),0))&gt;0,"Y","")</f>
        <v/>
      </c>
      <c r="Q37" s="286" t="str" cm="1">
        <f t="array" ref="Q37">IF(SUMPRODUCT(IFERROR(--(INT(Attendance[Start time])=Training_Attendance[[#This Row],[Date]]),0)*IFERROR(--(ISNUMBER(SEARCH(Q$1,Attendance[Attendees]))),0)*IFERROR(--(Attendance[Session Type]="Training"),0))&gt;0,"Y","")</f>
        <v/>
      </c>
      <c r="R37" s="286" t="str" cm="1">
        <f t="array" ref="R37">IF(SUMPRODUCT(IFERROR(--(INT(Attendance[Start time])=Training_Attendance[[#This Row],[Date]]),0)*IFERROR(--(ISNUMBER(SEARCH(R$1,Attendance[Attendees]))),0)*IFERROR(--(Attendance[Session Type]="Training"),0))&gt;0,"Y","")</f>
        <v/>
      </c>
      <c r="S37" s="286" t="str" cm="1">
        <f t="array" ref="S37">IF(SUMPRODUCT(IFERROR(--(INT(Attendance[Start time])=Training_Attendance[[#This Row],[Date]]),0)*IFERROR(--(ISNUMBER(SEARCH(S$1,Attendance[Attendees]))),0)*IFERROR(--(Attendance[Session Type]="Training"),0))&gt;0,"Y","")</f>
        <v/>
      </c>
      <c r="T37" s="286" t="str" cm="1">
        <f t="array" ref="T37">IF(SUMPRODUCT(IFERROR(--(INT(Attendance[Start time])=Training_Attendance[[#This Row],[Date]]),0)*IFERROR(--(ISNUMBER(SEARCH(T$1,Attendance[Attendees]))),0)*IFERROR(--(Attendance[Session Type]="Training"),0))&gt;0,"Y","")</f>
        <v/>
      </c>
      <c r="U37" s="286" t="str" cm="1">
        <f t="array" ref="U37">IF(SUMPRODUCT(IFERROR(--(INT(Attendance[Start time])=Training_Attendance[[#This Row],[Date]]),0)*IFERROR(--(ISNUMBER(SEARCH(U$1,Attendance[Attendees]))),0)*IFERROR(--(Attendance[Session Type]="Training"),0))&gt;0,"Y","")</f>
        <v/>
      </c>
      <c r="V37" s="286" t="str" cm="1">
        <f t="array" ref="V37">IF(SUMPRODUCT(IFERROR(--(INT(Attendance[Start time])=Training_Attendance[[#This Row],[Date]]),0)*IFERROR(--(ISNUMBER(SEARCH(V$1,Attendance[Attendees]))),0)*IFERROR(--(Attendance[Session Type]="Training"),0))&gt;0,"Y","")</f>
        <v/>
      </c>
      <c r="W37" s="286" t="str" cm="1">
        <f t="array" ref="W37">IF(SUMPRODUCT(IFERROR(--(INT(Attendance[Start time])=Training_Attendance[[#This Row],[Date]]),0)*IFERROR(--(ISNUMBER(SEARCH(W$1,Attendance[Attendees]))),0)*IFERROR(--(Attendance[Session Type]="Training"),0))&gt;0,"Y","")</f>
        <v/>
      </c>
      <c r="X37" s="286" t="str" cm="1">
        <f t="array" ref="X37">IF(SUMPRODUCT(IFERROR(--(INT(Attendance[Start time])=Training_Attendance[[#This Row],[Date]]),0)*IFERROR(--(ISNUMBER(SEARCH(X$1,Attendance[Attendees]))),0)*IFERROR(--(Attendance[Session Type]="Training"),0))&gt;0,"Y","")</f>
        <v/>
      </c>
      <c r="Y37" s="286" t="str" cm="1">
        <f t="array" ref="Y37">IF(SUMPRODUCT(IFERROR(--(INT(Attendance[Start time])=Training_Attendance[[#This Row],[Date]]),0)*IFERROR(--(ISNUMBER(SEARCH(Y$1,Attendance[Attendees]))),0)*IFERROR(--(Attendance[Session Type]="Training"),0))&gt;0,"Y","")</f>
        <v/>
      </c>
      <c r="Z37" s="286" t="str" cm="1">
        <f t="array" ref="Z37">IF(SUMPRODUCT(IFERROR(--(INT(Attendance[Start time])=Training_Attendance[[#This Row],[Date]]),0)*IFERROR(--(ISNUMBER(SEARCH(Z$1,Attendance[Attendees]))),0)*IFERROR(--(Attendance[Session Type]="Training"),0))&gt;0,"Y","")</f>
        <v/>
      </c>
      <c r="AA37" s="286" t="str" cm="1">
        <f t="array" ref="AA37">IF(SUMPRODUCT(IFERROR(--(INT(Attendance[Start time])=Training_Attendance[[#This Row],[Date]]),0)*IFERROR(--(ISNUMBER(SEARCH(AA$1,Attendance[Attendees]))),0)*IFERROR(--(Attendance[Session Type]="Training"),0))&gt;0,"Y","")</f>
        <v/>
      </c>
      <c r="AB37" s="286" t="str" cm="1">
        <f t="array" ref="AB37">IF(SUMPRODUCT(IFERROR(--(INT(Attendance[Start time])=Training_Attendance[[#This Row],[Date]]),0)*IFERROR(--(ISNUMBER(SEARCH(AB$1,Attendance[Attendees]))),0)*IFERROR(--(Attendance[Session Type]="Training"),0))&gt;0,"Y","")</f>
        <v/>
      </c>
      <c r="AC37" s="286" t="str" cm="1">
        <f t="array" ref="AC37">IF(SUMPRODUCT(IFERROR(--(INT(Attendance[Start time])=Training_Attendance[[#This Row],[Date]]),0)*IFERROR(--(ISNUMBER(SEARCH(AC$1,Attendance[Attendees]))),0)*IFERROR(--(Attendance[Session Type]="Training"),0))&gt;0,"Y","")</f>
        <v/>
      </c>
      <c r="AD37" s="265">
        <f>COUNTIF(Training_Attendance[[#This Row],[Alf M]:[Ronnie D]],"Y")</f>
        <v>0</v>
      </c>
      <c r="AE37" s="166"/>
    </row>
    <row r="38" spans="1:31" ht="16" customHeight="1" x14ac:dyDescent="0.35">
      <c r="A38" s="225">
        <v>46519</v>
      </c>
      <c r="B38" s="220">
        <f>Training_Attendance[[#This Row],[Date]]</f>
        <v>46519</v>
      </c>
      <c r="C38" s="166" t="s">
        <v>84</v>
      </c>
      <c r="D38" s="286" t="str" cm="1">
        <f t="array" ref="D38">IF(SUMPRODUCT(IFERROR(--(INT(Attendance[Start time])=Training_Attendance[[#This Row],[Date]]),0)*IFERROR(--(ISNUMBER(SEARCH(D$1,Attendance[Attendees]))),0)*IFERROR(--(Attendance[Session Type]="Training"),0))&gt;0,"Y","")</f>
        <v/>
      </c>
      <c r="E38" s="286" t="str" cm="1">
        <f t="array" ref="E38">IF(SUMPRODUCT(IFERROR(--(INT(Attendance[Start time])=Training_Attendance[[#This Row],[Date]]),0)*IFERROR(--(ISNUMBER(SEARCH(E$1,Attendance[Attendees]))),0)*IFERROR(--(Attendance[Session Type]="Training"),0))&gt;0,"Y","")</f>
        <v/>
      </c>
      <c r="F38" s="286" t="str" cm="1">
        <f t="array" ref="F38">IF(SUMPRODUCT(IFERROR(--(INT(Attendance[Start time])=Training_Attendance[[#This Row],[Date]]),0)*IFERROR(--(ISNUMBER(SEARCH(F$1,Attendance[Attendees]))),0)*IFERROR(--(Attendance[Session Type]="Training"),0))&gt;0,"Y","")</f>
        <v/>
      </c>
      <c r="G38" s="286" t="str" cm="1">
        <f t="array" ref="G38">IF(SUMPRODUCT(IFERROR(--(INT(Attendance[Start time])=Training_Attendance[[#This Row],[Date]]),0)*IFERROR(--(ISNUMBER(SEARCH(G$1,Attendance[Attendees]))),0)*IFERROR(--(Attendance[Session Type]="Training"),0))&gt;0,"Y","")</f>
        <v/>
      </c>
      <c r="H38" s="286" t="str" cm="1">
        <f t="array" ref="H38">IF(SUMPRODUCT(IFERROR(--(INT(Attendance[Start time])=Training_Attendance[[#This Row],[Date]]),0)*IFERROR(--(ISNUMBER(SEARCH(H$1,Attendance[Attendees]))),0)*IFERROR(--(Attendance[Session Type]="Training"),0))&gt;0,"Y","")</f>
        <v/>
      </c>
      <c r="I38" s="286" t="str" cm="1">
        <f t="array" ref="I38">IF(SUMPRODUCT(IFERROR(--(INT(Attendance[Start time])=Training_Attendance[[#This Row],[Date]]),0)*IFERROR(--(ISNUMBER(SEARCH(I$1,Attendance[Attendees]))),0)*IFERROR(--(Attendance[Session Type]="Training"),0))&gt;0,"Y","")</f>
        <v/>
      </c>
      <c r="J38" s="286" t="str" cm="1">
        <f t="array" ref="J38">IF(SUMPRODUCT(IFERROR(--(INT(Attendance[Start time])=Training_Attendance[[#This Row],[Date]]),0)*IFERROR(--(ISNUMBER(SEARCH(J$1,Attendance[Attendees]))),0)*IFERROR(--(Attendance[Session Type]="Training"),0))&gt;0,"Y","")</f>
        <v/>
      </c>
      <c r="K38" s="286" t="str" cm="1">
        <f t="array" ref="K38">IF(SUMPRODUCT(IFERROR(--(INT(Attendance[Start time])=Training_Attendance[[#This Row],[Date]]),0)*IFERROR(--(ISNUMBER(SEARCH(K$1,Attendance[Attendees]))),0)*IFERROR(--(Attendance[Session Type]="Training"),0))&gt;0,"Y","")</f>
        <v/>
      </c>
      <c r="L38" s="286" t="str" cm="1">
        <f t="array" ref="L38">IF(SUMPRODUCT(IFERROR(--(INT(Attendance[Start time])=Training_Attendance[[#This Row],[Date]]),0)*IFERROR(--(ISNUMBER(SEARCH(L$1,Attendance[Attendees]))),0)*IFERROR(--(Attendance[Session Type]="Training"),0))&gt;0,"Y","")</f>
        <v/>
      </c>
      <c r="M38" s="286" t="str" cm="1">
        <f t="array" ref="M38">IF(SUMPRODUCT(IFERROR(--(INT(Attendance[Start time])=Training_Attendance[[#This Row],[Date]]),0)*IFERROR(--(ISNUMBER(SEARCH(M$1,Attendance[Attendees]))),0)*IFERROR(--(Attendance[Session Type]="Training"),0))&gt;0,"Y","")</f>
        <v/>
      </c>
      <c r="N38" s="286" t="str" cm="1">
        <f t="array" ref="N38">IF(SUMPRODUCT(IFERROR(--(INT(Attendance[Start time])=Training_Attendance[[#This Row],[Date]]),0)*IFERROR(--(ISNUMBER(SEARCH(N$1,Attendance[Attendees]))),0)*IFERROR(--(Attendance[Session Type]="Training"),0))&gt;0,"Y","")</f>
        <v/>
      </c>
      <c r="O38" s="286" t="str" cm="1">
        <f t="array" ref="O38">IF(SUMPRODUCT(IFERROR(--(INT(Attendance[Start time])=Training_Attendance[[#This Row],[Date]]),0)*IFERROR(--(ISNUMBER(SEARCH(O$1,Attendance[Attendees]))),0)*IFERROR(--(Attendance[Session Type]="Training"),0))&gt;0,"Y","")</f>
        <v/>
      </c>
      <c r="P38" s="286" t="str" cm="1">
        <f t="array" ref="P38">IF(SUMPRODUCT(IFERROR(--(INT(Attendance[Start time])=Training_Attendance[[#This Row],[Date]]),0)*IFERROR(--(ISNUMBER(SEARCH(P$1,Attendance[Attendees]))),0)*IFERROR(--(Attendance[Session Type]="Training"),0))&gt;0,"Y","")</f>
        <v/>
      </c>
      <c r="Q38" s="286" t="str" cm="1">
        <f t="array" ref="Q38">IF(SUMPRODUCT(IFERROR(--(INT(Attendance[Start time])=Training_Attendance[[#This Row],[Date]]),0)*IFERROR(--(ISNUMBER(SEARCH(Q$1,Attendance[Attendees]))),0)*IFERROR(--(Attendance[Session Type]="Training"),0))&gt;0,"Y","")</f>
        <v/>
      </c>
      <c r="R38" s="286" t="str" cm="1">
        <f t="array" ref="R38">IF(SUMPRODUCT(IFERROR(--(INT(Attendance[Start time])=Training_Attendance[[#This Row],[Date]]),0)*IFERROR(--(ISNUMBER(SEARCH(R$1,Attendance[Attendees]))),0)*IFERROR(--(Attendance[Session Type]="Training"),0))&gt;0,"Y","")</f>
        <v/>
      </c>
      <c r="S38" s="286" t="str" cm="1">
        <f t="array" ref="S38">IF(SUMPRODUCT(IFERROR(--(INT(Attendance[Start time])=Training_Attendance[[#This Row],[Date]]),0)*IFERROR(--(ISNUMBER(SEARCH(S$1,Attendance[Attendees]))),0)*IFERROR(--(Attendance[Session Type]="Training"),0))&gt;0,"Y","")</f>
        <v/>
      </c>
      <c r="T38" s="286" t="str" cm="1">
        <f t="array" ref="T38">IF(SUMPRODUCT(IFERROR(--(INT(Attendance[Start time])=Training_Attendance[[#This Row],[Date]]),0)*IFERROR(--(ISNUMBER(SEARCH(T$1,Attendance[Attendees]))),0)*IFERROR(--(Attendance[Session Type]="Training"),0))&gt;0,"Y","")</f>
        <v/>
      </c>
      <c r="U38" s="286" t="str" cm="1">
        <f t="array" ref="U38">IF(SUMPRODUCT(IFERROR(--(INT(Attendance[Start time])=Training_Attendance[[#This Row],[Date]]),0)*IFERROR(--(ISNUMBER(SEARCH(U$1,Attendance[Attendees]))),0)*IFERROR(--(Attendance[Session Type]="Training"),0))&gt;0,"Y","")</f>
        <v/>
      </c>
      <c r="V38" s="286" t="str" cm="1">
        <f t="array" ref="V38">IF(SUMPRODUCT(IFERROR(--(INT(Attendance[Start time])=Training_Attendance[[#This Row],[Date]]),0)*IFERROR(--(ISNUMBER(SEARCH(V$1,Attendance[Attendees]))),0)*IFERROR(--(Attendance[Session Type]="Training"),0))&gt;0,"Y","")</f>
        <v/>
      </c>
      <c r="W38" s="286" t="str" cm="1">
        <f t="array" ref="W38">IF(SUMPRODUCT(IFERROR(--(INT(Attendance[Start time])=Training_Attendance[[#This Row],[Date]]),0)*IFERROR(--(ISNUMBER(SEARCH(W$1,Attendance[Attendees]))),0)*IFERROR(--(Attendance[Session Type]="Training"),0))&gt;0,"Y","")</f>
        <v/>
      </c>
      <c r="X38" s="286" t="str" cm="1">
        <f t="array" ref="X38">IF(SUMPRODUCT(IFERROR(--(INT(Attendance[Start time])=Training_Attendance[[#This Row],[Date]]),0)*IFERROR(--(ISNUMBER(SEARCH(X$1,Attendance[Attendees]))),0)*IFERROR(--(Attendance[Session Type]="Training"),0))&gt;0,"Y","")</f>
        <v/>
      </c>
      <c r="Y38" s="286" t="str" cm="1">
        <f t="array" ref="Y38">IF(SUMPRODUCT(IFERROR(--(INT(Attendance[Start time])=Training_Attendance[[#This Row],[Date]]),0)*IFERROR(--(ISNUMBER(SEARCH(Y$1,Attendance[Attendees]))),0)*IFERROR(--(Attendance[Session Type]="Training"),0))&gt;0,"Y","")</f>
        <v/>
      </c>
      <c r="Z38" s="286" t="str" cm="1">
        <f t="array" ref="Z38">IF(SUMPRODUCT(IFERROR(--(INT(Attendance[Start time])=Training_Attendance[[#This Row],[Date]]),0)*IFERROR(--(ISNUMBER(SEARCH(Z$1,Attendance[Attendees]))),0)*IFERROR(--(Attendance[Session Type]="Training"),0))&gt;0,"Y","")</f>
        <v/>
      </c>
      <c r="AA38" s="286" t="str" cm="1">
        <f t="array" ref="AA38">IF(SUMPRODUCT(IFERROR(--(INT(Attendance[Start time])=Training_Attendance[[#This Row],[Date]]),0)*IFERROR(--(ISNUMBER(SEARCH(AA$1,Attendance[Attendees]))),0)*IFERROR(--(Attendance[Session Type]="Training"),0))&gt;0,"Y","")</f>
        <v/>
      </c>
      <c r="AB38" s="286" t="str" cm="1">
        <f t="array" ref="AB38">IF(SUMPRODUCT(IFERROR(--(INT(Attendance[Start time])=Training_Attendance[[#This Row],[Date]]),0)*IFERROR(--(ISNUMBER(SEARCH(AB$1,Attendance[Attendees]))),0)*IFERROR(--(Attendance[Session Type]="Training"),0))&gt;0,"Y","")</f>
        <v/>
      </c>
      <c r="AC38" s="286" t="str" cm="1">
        <f t="array" ref="AC38">IF(SUMPRODUCT(IFERROR(--(INT(Attendance[Start time])=Training_Attendance[[#This Row],[Date]]),0)*IFERROR(--(ISNUMBER(SEARCH(AC$1,Attendance[Attendees]))),0)*IFERROR(--(Attendance[Session Type]="Training"),0))&gt;0,"Y","")</f>
        <v/>
      </c>
      <c r="AD38" s="265">
        <f>COUNTIF(Training_Attendance[[#This Row],[Alf M]:[Ronnie D]],"Y")</f>
        <v>0</v>
      </c>
      <c r="AE38" s="166"/>
    </row>
    <row r="39" spans="1:31" ht="16" customHeight="1" x14ac:dyDescent="0.35">
      <c r="A39" s="225">
        <v>46526</v>
      </c>
      <c r="B39" s="220">
        <f>Training_Attendance[[#This Row],[Date]]</f>
        <v>46526</v>
      </c>
      <c r="C39" s="166" t="s">
        <v>84</v>
      </c>
      <c r="D39" s="286" t="str" cm="1">
        <f t="array" ref="D39">IF(SUMPRODUCT(IFERROR(--(INT(Attendance[Start time])=Training_Attendance[[#This Row],[Date]]),0)*IFERROR(--(ISNUMBER(SEARCH(D$1,Attendance[Attendees]))),0)*IFERROR(--(Attendance[Session Type]="Training"),0))&gt;0,"Y","")</f>
        <v/>
      </c>
      <c r="E39" s="286" t="str" cm="1">
        <f t="array" ref="E39">IF(SUMPRODUCT(IFERROR(--(INT(Attendance[Start time])=Training_Attendance[[#This Row],[Date]]),0)*IFERROR(--(ISNUMBER(SEARCH(E$1,Attendance[Attendees]))),0)*IFERROR(--(Attendance[Session Type]="Training"),0))&gt;0,"Y","")</f>
        <v/>
      </c>
      <c r="F39" s="286" t="str" cm="1">
        <f t="array" ref="F39">IF(SUMPRODUCT(IFERROR(--(INT(Attendance[Start time])=Training_Attendance[[#This Row],[Date]]),0)*IFERROR(--(ISNUMBER(SEARCH(F$1,Attendance[Attendees]))),0)*IFERROR(--(Attendance[Session Type]="Training"),0))&gt;0,"Y","")</f>
        <v/>
      </c>
      <c r="G39" s="286" t="str" cm="1">
        <f t="array" ref="G39">IF(SUMPRODUCT(IFERROR(--(INT(Attendance[Start time])=Training_Attendance[[#This Row],[Date]]),0)*IFERROR(--(ISNUMBER(SEARCH(G$1,Attendance[Attendees]))),0)*IFERROR(--(Attendance[Session Type]="Training"),0))&gt;0,"Y","")</f>
        <v/>
      </c>
      <c r="H39" s="286" t="str" cm="1">
        <f t="array" ref="H39">IF(SUMPRODUCT(IFERROR(--(INT(Attendance[Start time])=Training_Attendance[[#This Row],[Date]]),0)*IFERROR(--(ISNUMBER(SEARCH(H$1,Attendance[Attendees]))),0)*IFERROR(--(Attendance[Session Type]="Training"),0))&gt;0,"Y","")</f>
        <v/>
      </c>
      <c r="I39" s="286" t="str" cm="1">
        <f t="array" ref="I39">IF(SUMPRODUCT(IFERROR(--(INT(Attendance[Start time])=Training_Attendance[[#This Row],[Date]]),0)*IFERROR(--(ISNUMBER(SEARCH(I$1,Attendance[Attendees]))),0)*IFERROR(--(Attendance[Session Type]="Training"),0))&gt;0,"Y","")</f>
        <v/>
      </c>
      <c r="J39" s="286" t="str" cm="1">
        <f t="array" ref="J39">IF(SUMPRODUCT(IFERROR(--(INT(Attendance[Start time])=Training_Attendance[[#This Row],[Date]]),0)*IFERROR(--(ISNUMBER(SEARCH(J$1,Attendance[Attendees]))),0)*IFERROR(--(Attendance[Session Type]="Training"),0))&gt;0,"Y","")</f>
        <v/>
      </c>
      <c r="K39" s="286" t="str" cm="1">
        <f t="array" ref="K39">IF(SUMPRODUCT(IFERROR(--(INT(Attendance[Start time])=Training_Attendance[[#This Row],[Date]]),0)*IFERROR(--(ISNUMBER(SEARCH(K$1,Attendance[Attendees]))),0)*IFERROR(--(Attendance[Session Type]="Training"),0))&gt;0,"Y","")</f>
        <v/>
      </c>
      <c r="L39" s="286" t="str" cm="1">
        <f t="array" ref="L39">IF(SUMPRODUCT(IFERROR(--(INT(Attendance[Start time])=Training_Attendance[[#This Row],[Date]]),0)*IFERROR(--(ISNUMBER(SEARCH(L$1,Attendance[Attendees]))),0)*IFERROR(--(Attendance[Session Type]="Training"),0))&gt;0,"Y","")</f>
        <v/>
      </c>
      <c r="M39" s="286" t="str" cm="1">
        <f t="array" ref="M39">IF(SUMPRODUCT(IFERROR(--(INT(Attendance[Start time])=Training_Attendance[[#This Row],[Date]]),0)*IFERROR(--(ISNUMBER(SEARCH(M$1,Attendance[Attendees]))),0)*IFERROR(--(Attendance[Session Type]="Training"),0))&gt;0,"Y","")</f>
        <v/>
      </c>
      <c r="N39" s="286" t="str" cm="1">
        <f t="array" ref="N39">IF(SUMPRODUCT(IFERROR(--(INT(Attendance[Start time])=Training_Attendance[[#This Row],[Date]]),0)*IFERROR(--(ISNUMBER(SEARCH(N$1,Attendance[Attendees]))),0)*IFERROR(--(Attendance[Session Type]="Training"),0))&gt;0,"Y","")</f>
        <v/>
      </c>
      <c r="O39" s="286" t="str" cm="1">
        <f t="array" ref="O39">IF(SUMPRODUCT(IFERROR(--(INT(Attendance[Start time])=Training_Attendance[[#This Row],[Date]]),0)*IFERROR(--(ISNUMBER(SEARCH(O$1,Attendance[Attendees]))),0)*IFERROR(--(Attendance[Session Type]="Training"),0))&gt;0,"Y","")</f>
        <v/>
      </c>
      <c r="P39" s="286" t="str" cm="1">
        <f t="array" ref="P39">IF(SUMPRODUCT(IFERROR(--(INT(Attendance[Start time])=Training_Attendance[[#This Row],[Date]]),0)*IFERROR(--(ISNUMBER(SEARCH(P$1,Attendance[Attendees]))),0)*IFERROR(--(Attendance[Session Type]="Training"),0))&gt;0,"Y","")</f>
        <v/>
      </c>
      <c r="Q39" s="286" t="str" cm="1">
        <f t="array" ref="Q39">IF(SUMPRODUCT(IFERROR(--(INT(Attendance[Start time])=Training_Attendance[[#This Row],[Date]]),0)*IFERROR(--(ISNUMBER(SEARCH(Q$1,Attendance[Attendees]))),0)*IFERROR(--(Attendance[Session Type]="Training"),0))&gt;0,"Y","")</f>
        <v/>
      </c>
      <c r="R39" s="286" t="str" cm="1">
        <f t="array" ref="R39">IF(SUMPRODUCT(IFERROR(--(INT(Attendance[Start time])=Training_Attendance[[#This Row],[Date]]),0)*IFERROR(--(ISNUMBER(SEARCH(R$1,Attendance[Attendees]))),0)*IFERROR(--(Attendance[Session Type]="Training"),0))&gt;0,"Y","")</f>
        <v/>
      </c>
      <c r="S39" s="286" t="str" cm="1">
        <f t="array" ref="S39">IF(SUMPRODUCT(IFERROR(--(INT(Attendance[Start time])=Training_Attendance[[#This Row],[Date]]),0)*IFERROR(--(ISNUMBER(SEARCH(S$1,Attendance[Attendees]))),0)*IFERROR(--(Attendance[Session Type]="Training"),0))&gt;0,"Y","")</f>
        <v/>
      </c>
      <c r="T39" s="286" t="str" cm="1">
        <f t="array" ref="T39">IF(SUMPRODUCT(IFERROR(--(INT(Attendance[Start time])=Training_Attendance[[#This Row],[Date]]),0)*IFERROR(--(ISNUMBER(SEARCH(T$1,Attendance[Attendees]))),0)*IFERROR(--(Attendance[Session Type]="Training"),0))&gt;0,"Y","")</f>
        <v/>
      </c>
      <c r="U39" s="286" t="str" cm="1">
        <f t="array" ref="U39">IF(SUMPRODUCT(IFERROR(--(INT(Attendance[Start time])=Training_Attendance[[#This Row],[Date]]),0)*IFERROR(--(ISNUMBER(SEARCH(U$1,Attendance[Attendees]))),0)*IFERROR(--(Attendance[Session Type]="Training"),0))&gt;0,"Y","")</f>
        <v/>
      </c>
      <c r="V39" s="286" t="str" cm="1">
        <f t="array" ref="V39">IF(SUMPRODUCT(IFERROR(--(INT(Attendance[Start time])=Training_Attendance[[#This Row],[Date]]),0)*IFERROR(--(ISNUMBER(SEARCH(V$1,Attendance[Attendees]))),0)*IFERROR(--(Attendance[Session Type]="Training"),0))&gt;0,"Y","")</f>
        <v/>
      </c>
      <c r="W39" s="286" t="str" cm="1">
        <f t="array" ref="W39">IF(SUMPRODUCT(IFERROR(--(INT(Attendance[Start time])=Training_Attendance[[#This Row],[Date]]),0)*IFERROR(--(ISNUMBER(SEARCH(W$1,Attendance[Attendees]))),0)*IFERROR(--(Attendance[Session Type]="Training"),0))&gt;0,"Y","")</f>
        <v/>
      </c>
      <c r="X39" s="286" t="str" cm="1">
        <f t="array" ref="X39">IF(SUMPRODUCT(IFERROR(--(INT(Attendance[Start time])=Training_Attendance[[#This Row],[Date]]),0)*IFERROR(--(ISNUMBER(SEARCH(X$1,Attendance[Attendees]))),0)*IFERROR(--(Attendance[Session Type]="Training"),0))&gt;0,"Y","")</f>
        <v/>
      </c>
      <c r="Y39" s="286" t="str" cm="1">
        <f t="array" ref="Y39">IF(SUMPRODUCT(IFERROR(--(INT(Attendance[Start time])=Training_Attendance[[#This Row],[Date]]),0)*IFERROR(--(ISNUMBER(SEARCH(Y$1,Attendance[Attendees]))),0)*IFERROR(--(Attendance[Session Type]="Training"),0))&gt;0,"Y","")</f>
        <v/>
      </c>
      <c r="Z39" s="286" t="str" cm="1">
        <f t="array" ref="Z39">IF(SUMPRODUCT(IFERROR(--(INT(Attendance[Start time])=Training_Attendance[[#This Row],[Date]]),0)*IFERROR(--(ISNUMBER(SEARCH(Z$1,Attendance[Attendees]))),0)*IFERROR(--(Attendance[Session Type]="Training"),0))&gt;0,"Y","")</f>
        <v/>
      </c>
      <c r="AA39" s="286" t="str" cm="1">
        <f t="array" ref="AA39">IF(SUMPRODUCT(IFERROR(--(INT(Attendance[Start time])=Training_Attendance[[#This Row],[Date]]),0)*IFERROR(--(ISNUMBER(SEARCH(AA$1,Attendance[Attendees]))),0)*IFERROR(--(Attendance[Session Type]="Training"),0))&gt;0,"Y","")</f>
        <v/>
      </c>
      <c r="AB39" s="286" t="str" cm="1">
        <f t="array" ref="AB39">IF(SUMPRODUCT(IFERROR(--(INT(Attendance[Start time])=Training_Attendance[[#This Row],[Date]]),0)*IFERROR(--(ISNUMBER(SEARCH(AB$1,Attendance[Attendees]))),0)*IFERROR(--(Attendance[Session Type]="Training"),0))&gt;0,"Y","")</f>
        <v/>
      </c>
      <c r="AC39" s="286" t="str" cm="1">
        <f t="array" ref="AC39">IF(SUMPRODUCT(IFERROR(--(INT(Attendance[Start time])=Training_Attendance[[#This Row],[Date]]),0)*IFERROR(--(ISNUMBER(SEARCH(AC$1,Attendance[Attendees]))),0)*IFERROR(--(Attendance[Session Type]="Training"),0))&gt;0,"Y","")</f>
        <v/>
      </c>
      <c r="AD39" s="265">
        <f>COUNTIF(Training_Attendance[[#This Row],[Alf M]:[Ronnie D]],"Y")</f>
        <v>0</v>
      </c>
      <c r="AE39" s="166"/>
    </row>
    <row r="40" spans="1:31" ht="16" customHeight="1" x14ac:dyDescent="0.35">
      <c r="A40" s="225">
        <v>46533</v>
      </c>
      <c r="B40" s="220">
        <f>Training_Attendance[[#This Row],[Date]]</f>
        <v>46533</v>
      </c>
      <c r="C40" s="166" t="s">
        <v>84</v>
      </c>
      <c r="D40" s="286" t="str" cm="1">
        <f t="array" ref="D40">IF(SUMPRODUCT(IFERROR(--(INT(Attendance[Start time])=Training_Attendance[[#This Row],[Date]]),0)*IFERROR(--(ISNUMBER(SEARCH(D$1,Attendance[Attendees]))),0)*IFERROR(--(Attendance[Session Type]="Training"),0))&gt;0,"Y","")</f>
        <v/>
      </c>
      <c r="E40" s="286" t="str" cm="1">
        <f t="array" ref="E40">IF(SUMPRODUCT(IFERROR(--(INT(Attendance[Start time])=Training_Attendance[[#This Row],[Date]]),0)*IFERROR(--(ISNUMBER(SEARCH(E$1,Attendance[Attendees]))),0)*IFERROR(--(Attendance[Session Type]="Training"),0))&gt;0,"Y","")</f>
        <v/>
      </c>
      <c r="F40" s="286" t="str" cm="1">
        <f t="array" ref="F40">IF(SUMPRODUCT(IFERROR(--(INT(Attendance[Start time])=Training_Attendance[[#This Row],[Date]]),0)*IFERROR(--(ISNUMBER(SEARCH(F$1,Attendance[Attendees]))),0)*IFERROR(--(Attendance[Session Type]="Training"),0))&gt;0,"Y","")</f>
        <v/>
      </c>
      <c r="G40" s="286" t="str" cm="1">
        <f t="array" ref="G40">IF(SUMPRODUCT(IFERROR(--(INT(Attendance[Start time])=Training_Attendance[[#This Row],[Date]]),0)*IFERROR(--(ISNUMBER(SEARCH(G$1,Attendance[Attendees]))),0)*IFERROR(--(Attendance[Session Type]="Training"),0))&gt;0,"Y","")</f>
        <v/>
      </c>
      <c r="H40" s="286" t="str" cm="1">
        <f t="array" ref="H40">IF(SUMPRODUCT(IFERROR(--(INT(Attendance[Start time])=Training_Attendance[[#This Row],[Date]]),0)*IFERROR(--(ISNUMBER(SEARCH(H$1,Attendance[Attendees]))),0)*IFERROR(--(Attendance[Session Type]="Training"),0))&gt;0,"Y","")</f>
        <v/>
      </c>
      <c r="I40" s="286" t="str" cm="1">
        <f t="array" ref="I40">IF(SUMPRODUCT(IFERROR(--(INT(Attendance[Start time])=Training_Attendance[[#This Row],[Date]]),0)*IFERROR(--(ISNUMBER(SEARCH(I$1,Attendance[Attendees]))),0)*IFERROR(--(Attendance[Session Type]="Training"),0))&gt;0,"Y","")</f>
        <v/>
      </c>
      <c r="J40" s="286" t="str" cm="1">
        <f t="array" ref="J40">IF(SUMPRODUCT(IFERROR(--(INT(Attendance[Start time])=Training_Attendance[[#This Row],[Date]]),0)*IFERROR(--(ISNUMBER(SEARCH(J$1,Attendance[Attendees]))),0)*IFERROR(--(Attendance[Session Type]="Training"),0))&gt;0,"Y","")</f>
        <v/>
      </c>
      <c r="K40" s="286" t="str" cm="1">
        <f t="array" ref="K40">IF(SUMPRODUCT(IFERROR(--(INT(Attendance[Start time])=Training_Attendance[[#This Row],[Date]]),0)*IFERROR(--(ISNUMBER(SEARCH(K$1,Attendance[Attendees]))),0)*IFERROR(--(Attendance[Session Type]="Training"),0))&gt;0,"Y","")</f>
        <v/>
      </c>
      <c r="L40" s="286" t="str" cm="1">
        <f t="array" ref="L40">IF(SUMPRODUCT(IFERROR(--(INT(Attendance[Start time])=Training_Attendance[[#This Row],[Date]]),0)*IFERROR(--(ISNUMBER(SEARCH(L$1,Attendance[Attendees]))),0)*IFERROR(--(Attendance[Session Type]="Training"),0))&gt;0,"Y","")</f>
        <v/>
      </c>
      <c r="M40" s="286" t="str" cm="1">
        <f t="array" ref="M40">IF(SUMPRODUCT(IFERROR(--(INT(Attendance[Start time])=Training_Attendance[[#This Row],[Date]]),0)*IFERROR(--(ISNUMBER(SEARCH(M$1,Attendance[Attendees]))),0)*IFERROR(--(Attendance[Session Type]="Training"),0))&gt;0,"Y","")</f>
        <v/>
      </c>
      <c r="N40" s="286" t="str" cm="1">
        <f t="array" ref="N40">IF(SUMPRODUCT(IFERROR(--(INT(Attendance[Start time])=Training_Attendance[[#This Row],[Date]]),0)*IFERROR(--(ISNUMBER(SEARCH(N$1,Attendance[Attendees]))),0)*IFERROR(--(Attendance[Session Type]="Training"),0))&gt;0,"Y","")</f>
        <v/>
      </c>
      <c r="O40" s="286" t="str" cm="1">
        <f t="array" ref="O40">IF(SUMPRODUCT(IFERROR(--(INT(Attendance[Start time])=Training_Attendance[[#This Row],[Date]]),0)*IFERROR(--(ISNUMBER(SEARCH(O$1,Attendance[Attendees]))),0)*IFERROR(--(Attendance[Session Type]="Training"),0))&gt;0,"Y","")</f>
        <v/>
      </c>
      <c r="P40" s="286" t="str" cm="1">
        <f t="array" ref="P40">IF(SUMPRODUCT(IFERROR(--(INT(Attendance[Start time])=Training_Attendance[[#This Row],[Date]]),0)*IFERROR(--(ISNUMBER(SEARCH(P$1,Attendance[Attendees]))),0)*IFERROR(--(Attendance[Session Type]="Training"),0))&gt;0,"Y","")</f>
        <v/>
      </c>
      <c r="Q40" s="286" t="str" cm="1">
        <f t="array" ref="Q40">IF(SUMPRODUCT(IFERROR(--(INT(Attendance[Start time])=Training_Attendance[[#This Row],[Date]]),0)*IFERROR(--(ISNUMBER(SEARCH(Q$1,Attendance[Attendees]))),0)*IFERROR(--(Attendance[Session Type]="Training"),0))&gt;0,"Y","")</f>
        <v/>
      </c>
      <c r="R40" s="286" t="str" cm="1">
        <f t="array" ref="R40">IF(SUMPRODUCT(IFERROR(--(INT(Attendance[Start time])=Training_Attendance[[#This Row],[Date]]),0)*IFERROR(--(ISNUMBER(SEARCH(R$1,Attendance[Attendees]))),0)*IFERROR(--(Attendance[Session Type]="Training"),0))&gt;0,"Y","")</f>
        <v/>
      </c>
      <c r="S40" s="286" t="str" cm="1">
        <f t="array" ref="S40">IF(SUMPRODUCT(IFERROR(--(INT(Attendance[Start time])=Training_Attendance[[#This Row],[Date]]),0)*IFERROR(--(ISNUMBER(SEARCH(S$1,Attendance[Attendees]))),0)*IFERROR(--(Attendance[Session Type]="Training"),0))&gt;0,"Y","")</f>
        <v/>
      </c>
      <c r="T40" s="286" t="str" cm="1">
        <f t="array" ref="T40">IF(SUMPRODUCT(IFERROR(--(INT(Attendance[Start time])=Training_Attendance[[#This Row],[Date]]),0)*IFERROR(--(ISNUMBER(SEARCH(T$1,Attendance[Attendees]))),0)*IFERROR(--(Attendance[Session Type]="Training"),0))&gt;0,"Y","")</f>
        <v/>
      </c>
      <c r="U40" s="286" t="str" cm="1">
        <f t="array" ref="U40">IF(SUMPRODUCT(IFERROR(--(INT(Attendance[Start time])=Training_Attendance[[#This Row],[Date]]),0)*IFERROR(--(ISNUMBER(SEARCH(U$1,Attendance[Attendees]))),0)*IFERROR(--(Attendance[Session Type]="Training"),0))&gt;0,"Y","")</f>
        <v/>
      </c>
      <c r="V40" s="286" t="str" cm="1">
        <f t="array" ref="V40">IF(SUMPRODUCT(IFERROR(--(INT(Attendance[Start time])=Training_Attendance[[#This Row],[Date]]),0)*IFERROR(--(ISNUMBER(SEARCH(V$1,Attendance[Attendees]))),0)*IFERROR(--(Attendance[Session Type]="Training"),0))&gt;0,"Y","")</f>
        <v/>
      </c>
      <c r="W40" s="286" t="str" cm="1">
        <f t="array" ref="W40">IF(SUMPRODUCT(IFERROR(--(INT(Attendance[Start time])=Training_Attendance[[#This Row],[Date]]),0)*IFERROR(--(ISNUMBER(SEARCH(W$1,Attendance[Attendees]))),0)*IFERROR(--(Attendance[Session Type]="Training"),0))&gt;0,"Y","")</f>
        <v/>
      </c>
      <c r="X40" s="286" t="str" cm="1">
        <f t="array" ref="X40">IF(SUMPRODUCT(IFERROR(--(INT(Attendance[Start time])=Training_Attendance[[#This Row],[Date]]),0)*IFERROR(--(ISNUMBER(SEARCH(X$1,Attendance[Attendees]))),0)*IFERROR(--(Attendance[Session Type]="Training"),0))&gt;0,"Y","")</f>
        <v/>
      </c>
      <c r="Y40" s="286" t="str" cm="1">
        <f t="array" ref="Y40">IF(SUMPRODUCT(IFERROR(--(INT(Attendance[Start time])=Training_Attendance[[#This Row],[Date]]),0)*IFERROR(--(ISNUMBER(SEARCH(Y$1,Attendance[Attendees]))),0)*IFERROR(--(Attendance[Session Type]="Training"),0))&gt;0,"Y","")</f>
        <v/>
      </c>
      <c r="Z40" s="286" t="str" cm="1">
        <f t="array" ref="Z40">IF(SUMPRODUCT(IFERROR(--(INT(Attendance[Start time])=Training_Attendance[[#This Row],[Date]]),0)*IFERROR(--(ISNUMBER(SEARCH(Z$1,Attendance[Attendees]))),0)*IFERROR(--(Attendance[Session Type]="Training"),0))&gt;0,"Y","")</f>
        <v/>
      </c>
      <c r="AA40" s="286" t="str" cm="1">
        <f t="array" ref="AA40">IF(SUMPRODUCT(IFERROR(--(INT(Attendance[Start time])=Training_Attendance[[#This Row],[Date]]),0)*IFERROR(--(ISNUMBER(SEARCH(AA$1,Attendance[Attendees]))),0)*IFERROR(--(Attendance[Session Type]="Training"),0))&gt;0,"Y","")</f>
        <v/>
      </c>
      <c r="AB40" s="286" t="str" cm="1">
        <f t="array" ref="AB40">IF(SUMPRODUCT(IFERROR(--(INT(Attendance[Start time])=Training_Attendance[[#This Row],[Date]]),0)*IFERROR(--(ISNUMBER(SEARCH(AB$1,Attendance[Attendees]))),0)*IFERROR(--(Attendance[Session Type]="Training"),0))&gt;0,"Y","")</f>
        <v/>
      </c>
      <c r="AC40" s="286" t="str" cm="1">
        <f t="array" ref="AC40">IF(SUMPRODUCT(IFERROR(--(INT(Attendance[Start time])=Training_Attendance[[#This Row],[Date]]),0)*IFERROR(--(ISNUMBER(SEARCH(AC$1,Attendance[Attendees]))),0)*IFERROR(--(Attendance[Session Type]="Training"),0))&gt;0,"Y","")</f>
        <v/>
      </c>
      <c r="AD40" s="265">
        <f>COUNTIF(Training_Attendance[[#This Row],[Alf M]:[Ronnie D]],"Y")</f>
        <v>0</v>
      </c>
      <c r="AE40" s="166"/>
    </row>
    <row r="41" spans="1:31" ht="16" customHeight="1" x14ac:dyDescent="0.35">
      <c r="A41" s="225">
        <v>46540</v>
      </c>
      <c r="B41" s="220">
        <f>Training_Attendance[[#This Row],[Date]]</f>
        <v>46540</v>
      </c>
      <c r="C41" s="166" t="s">
        <v>84</v>
      </c>
      <c r="D41" s="286" t="str" cm="1">
        <f t="array" ref="D41">IF(SUMPRODUCT(IFERROR(--(INT(Attendance[Start time])=Training_Attendance[[#This Row],[Date]]),0)*IFERROR(--(ISNUMBER(SEARCH(D$1,Attendance[Attendees]))),0)*IFERROR(--(Attendance[Session Type]="Training"),0))&gt;0,"Y","")</f>
        <v/>
      </c>
      <c r="E41" s="286" t="str" cm="1">
        <f t="array" ref="E41">IF(SUMPRODUCT(IFERROR(--(INT(Attendance[Start time])=Training_Attendance[[#This Row],[Date]]),0)*IFERROR(--(ISNUMBER(SEARCH(E$1,Attendance[Attendees]))),0)*IFERROR(--(Attendance[Session Type]="Training"),0))&gt;0,"Y","")</f>
        <v/>
      </c>
      <c r="F41" s="286" t="str" cm="1">
        <f t="array" ref="F41">IF(SUMPRODUCT(IFERROR(--(INT(Attendance[Start time])=Training_Attendance[[#This Row],[Date]]),0)*IFERROR(--(ISNUMBER(SEARCH(F$1,Attendance[Attendees]))),0)*IFERROR(--(Attendance[Session Type]="Training"),0))&gt;0,"Y","")</f>
        <v/>
      </c>
      <c r="G41" s="286" t="str" cm="1">
        <f t="array" ref="G41">IF(SUMPRODUCT(IFERROR(--(INT(Attendance[Start time])=Training_Attendance[[#This Row],[Date]]),0)*IFERROR(--(ISNUMBER(SEARCH(G$1,Attendance[Attendees]))),0)*IFERROR(--(Attendance[Session Type]="Training"),0))&gt;0,"Y","")</f>
        <v/>
      </c>
      <c r="H41" s="286" t="str" cm="1">
        <f t="array" ref="H41">IF(SUMPRODUCT(IFERROR(--(INT(Attendance[Start time])=Training_Attendance[[#This Row],[Date]]),0)*IFERROR(--(ISNUMBER(SEARCH(H$1,Attendance[Attendees]))),0)*IFERROR(--(Attendance[Session Type]="Training"),0))&gt;0,"Y","")</f>
        <v/>
      </c>
      <c r="I41" s="286" t="str" cm="1">
        <f t="array" ref="I41">IF(SUMPRODUCT(IFERROR(--(INT(Attendance[Start time])=Training_Attendance[[#This Row],[Date]]),0)*IFERROR(--(ISNUMBER(SEARCH(I$1,Attendance[Attendees]))),0)*IFERROR(--(Attendance[Session Type]="Training"),0))&gt;0,"Y","")</f>
        <v/>
      </c>
      <c r="J41" s="286" t="str" cm="1">
        <f t="array" ref="J41">IF(SUMPRODUCT(IFERROR(--(INT(Attendance[Start time])=Training_Attendance[[#This Row],[Date]]),0)*IFERROR(--(ISNUMBER(SEARCH(J$1,Attendance[Attendees]))),0)*IFERROR(--(Attendance[Session Type]="Training"),0))&gt;0,"Y","")</f>
        <v/>
      </c>
      <c r="K41" s="286" t="str" cm="1">
        <f t="array" ref="K41">IF(SUMPRODUCT(IFERROR(--(INT(Attendance[Start time])=Training_Attendance[[#This Row],[Date]]),0)*IFERROR(--(ISNUMBER(SEARCH(K$1,Attendance[Attendees]))),0)*IFERROR(--(Attendance[Session Type]="Training"),0))&gt;0,"Y","")</f>
        <v/>
      </c>
      <c r="L41" s="286" t="str" cm="1">
        <f t="array" ref="L41">IF(SUMPRODUCT(IFERROR(--(INT(Attendance[Start time])=Training_Attendance[[#This Row],[Date]]),0)*IFERROR(--(ISNUMBER(SEARCH(L$1,Attendance[Attendees]))),0)*IFERROR(--(Attendance[Session Type]="Training"),0))&gt;0,"Y","")</f>
        <v/>
      </c>
      <c r="M41" s="286" t="str" cm="1">
        <f t="array" ref="M41">IF(SUMPRODUCT(IFERROR(--(INT(Attendance[Start time])=Training_Attendance[[#This Row],[Date]]),0)*IFERROR(--(ISNUMBER(SEARCH(M$1,Attendance[Attendees]))),0)*IFERROR(--(Attendance[Session Type]="Training"),0))&gt;0,"Y","")</f>
        <v/>
      </c>
      <c r="N41" s="286" t="str" cm="1">
        <f t="array" ref="N41">IF(SUMPRODUCT(IFERROR(--(INT(Attendance[Start time])=Training_Attendance[[#This Row],[Date]]),0)*IFERROR(--(ISNUMBER(SEARCH(N$1,Attendance[Attendees]))),0)*IFERROR(--(Attendance[Session Type]="Training"),0))&gt;0,"Y","")</f>
        <v/>
      </c>
      <c r="O41" s="286" t="str" cm="1">
        <f t="array" ref="O41">IF(SUMPRODUCT(IFERROR(--(INT(Attendance[Start time])=Training_Attendance[[#This Row],[Date]]),0)*IFERROR(--(ISNUMBER(SEARCH(O$1,Attendance[Attendees]))),0)*IFERROR(--(Attendance[Session Type]="Training"),0))&gt;0,"Y","")</f>
        <v/>
      </c>
      <c r="P41" s="286" t="str" cm="1">
        <f t="array" ref="P41">IF(SUMPRODUCT(IFERROR(--(INT(Attendance[Start time])=Training_Attendance[[#This Row],[Date]]),0)*IFERROR(--(ISNUMBER(SEARCH(P$1,Attendance[Attendees]))),0)*IFERROR(--(Attendance[Session Type]="Training"),0))&gt;0,"Y","")</f>
        <v/>
      </c>
      <c r="Q41" s="286" t="str" cm="1">
        <f t="array" ref="Q41">IF(SUMPRODUCT(IFERROR(--(INT(Attendance[Start time])=Training_Attendance[[#This Row],[Date]]),0)*IFERROR(--(ISNUMBER(SEARCH(Q$1,Attendance[Attendees]))),0)*IFERROR(--(Attendance[Session Type]="Training"),0))&gt;0,"Y","")</f>
        <v/>
      </c>
      <c r="R41" s="286" t="str" cm="1">
        <f t="array" ref="R41">IF(SUMPRODUCT(IFERROR(--(INT(Attendance[Start time])=Training_Attendance[[#This Row],[Date]]),0)*IFERROR(--(ISNUMBER(SEARCH(R$1,Attendance[Attendees]))),0)*IFERROR(--(Attendance[Session Type]="Training"),0))&gt;0,"Y","")</f>
        <v/>
      </c>
      <c r="S41" s="286" t="str" cm="1">
        <f t="array" ref="S41">IF(SUMPRODUCT(IFERROR(--(INT(Attendance[Start time])=Training_Attendance[[#This Row],[Date]]),0)*IFERROR(--(ISNUMBER(SEARCH(S$1,Attendance[Attendees]))),0)*IFERROR(--(Attendance[Session Type]="Training"),0))&gt;0,"Y","")</f>
        <v/>
      </c>
      <c r="T41" s="286" t="str" cm="1">
        <f t="array" ref="T41">IF(SUMPRODUCT(IFERROR(--(INT(Attendance[Start time])=Training_Attendance[[#This Row],[Date]]),0)*IFERROR(--(ISNUMBER(SEARCH(T$1,Attendance[Attendees]))),0)*IFERROR(--(Attendance[Session Type]="Training"),0))&gt;0,"Y","")</f>
        <v/>
      </c>
      <c r="U41" s="286" t="str" cm="1">
        <f t="array" ref="U41">IF(SUMPRODUCT(IFERROR(--(INT(Attendance[Start time])=Training_Attendance[[#This Row],[Date]]),0)*IFERROR(--(ISNUMBER(SEARCH(U$1,Attendance[Attendees]))),0)*IFERROR(--(Attendance[Session Type]="Training"),0))&gt;0,"Y","")</f>
        <v/>
      </c>
      <c r="V41" s="286" t="str" cm="1">
        <f t="array" ref="V41">IF(SUMPRODUCT(IFERROR(--(INT(Attendance[Start time])=Training_Attendance[[#This Row],[Date]]),0)*IFERROR(--(ISNUMBER(SEARCH(V$1,Attendance[Attendees]))),0)*IFERROR(--(Attendance[Session Type]="Training"),0))&gt;0,"Y","")</f>
        <v/>
      </c>
      <c r="W41" s="286" t="str" cm="1">
        <f t="array" ref="W41">IF(SUMPRODUCT(IFERROR(--(INT(Attendance[Start time])=Training_Attendance[[#This Row],[Date]]),0)*IFERROR(--(ISNUMBER(SEARCH(W$1,Attendance[Attendees]))),0)*IFERROR(--(Attendance[Session Type]="Training"),0))&gt;0,"Y","")</f>
        <v/>
      </c>
      <c r="X41" s="286" t="str" cm="1">
        <f t="array" ref="X41">IF(SUMPRODUCT(IFERROR(--(INT(Attendance[Start time])=Training_Attendance[[#This Row],[Date]]),0)*IFERROR(--(ISNUMBER(SEARCH(X$1,Attendance[Attendees]))),0)*IFERROR(--(Attendance[Session Type]="Training"),0))&gt;0,"Y","")</f>
        <v/>
      </c>
      <c r="Y41" s="286" t="str" cm="1">
        <f t="array" ref="Y41">IF(SUMPRODUCT(IFERROR(--(INT(Attendance[Start time])=Training_Attendance[[#This Row],[Date]]),0)*IFERROR(--(ISNUMBER(SEARCH(Y$1,Attendance[Attendees]))),0)*IFERROR(--(Attendance[Session Type]="Training"),0))&gt;0,"Y","")</f>
        <v/>
      </c>
      <c r="Z41" s="286" t="str" cm="1">
        <f t="array" ref="Z41">IF(SUMPRODUCT(IFERROR(--(INT(Attendance[Start time])=Training_Attendance[[#This Row],[Date]]),0)*IFERROR(--(ISNUMBER(SEARCH(Z$1,Attendance[Attendees]))),0)*IFERROR(--(Attendance[Session Type]="Training"),0))&gt;0,"Y","")</f>
        <v/>
      </c>
      <c r="AA41" s="286" t="str" cm="1">
        <f t="array" ref="AA41">IF(SUMPRODUCT(IFERROR(--(INT(Attendance[Start time])=Training_Attendance[[#This Row],[Date]]),0)*IFERROR(--(ISNUMBER(SEARCH(AA$1,Attendance[Attendees]))),0)*IFERROR(--(Attendance[Session Type]="Training"),0))&gt;0,"Y","")</f>
        <v/>
      </c>
      <c r="AB41" s="286" t="str" cm="1">
        <f t="array" ref="AB41">IF(SUMPRODUCT(IFERROR(--(INT(Attendance[Start time])=Training_Attendance[[#This Row],[Date]]),0)*IFERROR(--(ISNUMBER(SEARCH(AB$1,Attendance[Attendees]))),0)*IFERROR(--(Attendance[Session Type]="Training"),0))&gt;0,"Y","")</f>
        <v/>
      </c>
      <c r="AC41" s="286" t="str" cm="1">
        <f t="array" ref="AC41">IF(SUMPRODUCT(IFERROR(--(INT(Attendance[Start time])=Training_Attendance[[#This Row],[Date]]),0)*IFERROR(--(ISNUMBER(SEARCH(AC$1,Attendance[Attendees]))),0)*IFERROR(--(Attendance[Session Type]="Training"),0))&gt;0,"Y","")</f>
        <v/>
      </c>
      <c r="AD41" s="265">
        <f>COUNTIF(Training_Attendance[[#This Row],[Alf M]:[Ronnie D]],"Y")</f>
        <v>0</v>
      </c>
      <c r="AE41" s="166"/>
    </row>
    <row r="42" spans="1:31" ht="16" customHeight="1" x14ac:dyDescent="0.35">
      <c r="A42" s="225">
        <v>46547</v>
      </c>
      <c r="B42" s="220">
        <f>Training_Attendance[[#This Row],[Date]]</f>
        <v>46547</v>
      </c>
      <c r="C42" s="166" t="s">
        <v>84</v>
      </c>
      <c r="D42" s="286" t="str" cm="1">
        <f t="array" ref="D42">IF(SUMPRODUCT(IFERROR(--(INT(Attendance[Start time])=Training_Attendance[[#This Row],[Date]]),0)*IFERROR(--(ISNUMBER(SEARCH(D$1,Attendance[Attendees]))),0)*IFERROR(--(Attendance[Session Type]="Training"),0))&gt;0,"Y","")</f>
        <v/>
      </c>
      <c r="E42" s="286" t="str" cm="1">
        <f t="array" ref="E42">IF(SUMPRODUCT(IFERROR(--(INT(Attendance[Start time])=Training_Attendance[[#This Row],[Date]]),0)*IFERROR(--(ISNUMBER(SEARCH(E$1,Attendance[Attendees]))),0)*IFERROR(--(Attendance[Session Type]="Training"),0))&gt;0,"Y","")</f>
        <v/>
      </c>
      <c r="F42" s="286" t="str" cm="1">
        <f t="array" ref="F42">IF(SUMPRODUCT(IFERROR(--(INT(Attendance[Start time])=Training_Attendance[[#This Row],[Date]]),0)*IFERROR(--(ISNUMBER(SEARCH(F$1,Attendance[Attendees]))),0)*IFERROR(--(Attendance[Session Type]="Training"),0))&gt;0,"Y","")</f>
        <v/>
      </c>
      <c r="G42" s="286" t="str" cm="1">
        <f t="array" ref="G42">IF(SUMPRODUCT(IFERROR(--(INT(Attendance[Start time])=Training_Attendance[[#This Row],[Date]]),0)*IFERROR(--(ISNUMBER(SEARCH(G$1,Attendance[Attendees]))),0)*IFERROR(--(Attendance[Session Type]="Training"),0))&gt;0,"Y","")</f>
        <v/>
      </c>
      <c r="H42" s="286" t="str" cm="1">
        <f t="array" ref="H42">IF(SUMPRODUCT(IFERROR(--(INT(Attendance[Start time])=Training_Attendance[[#This Row],[Date]]),0)*IFERROR(--(ISNUMBER(SEARCH(H$1,Attendance[Attendees]))),0)*IFERROR(--(Attendance[Session Type]="Training"),0))&gt;0,"Y","")</f>
        <v/>
      </c>
      <c r="I42" s="286" t="str" cm="1">
        <f t="array" ref="I42">IF(SUMPRODUCT(IFERROR(--(INT(Attendance[Start time])=Training_Attendance[[#This Row],[Date]]),0)*IFERROR(--(ISNUMBER(SEARCH(I$1,Attendance[Attendees]))),0)*IFERROR(--(Attendance[Session Type]="Training"),0))&gt;0,"Y","")</f>
        <v/>
      </c>
      <c r="J42" s="286" t="str" cm="1">
        <f t="array" ref="J42">IF(SUMPRODUCT(IFERROR(--(INT(Attendance[Start time])=Training_Attendance[[#This Row],[Date]]),0)*IFERROR(--(ISNUMBER(SEARCH(J$1,Attendance[Attendees]))),0)*IFERROR(--(Attendance[Session Type]="Training"),0))&gt;0,"Y","")</f>
        <v/>
      </c>
      <c r="K42" s="286" t="str" cm="1">
        <f t="array" ref="K42">IF(SUMPRODUCT(IFERROR(--(INT(Attendance[Start time])=Training_Attendance[[#This Row],[Date]]),0)*IFERROR(--(ISNUMBER(SEARCH(K$1,Attendance[Attendees]))),0)*IFERROR(--(Attendance[Session Type]="Training"),0))&gt;0,"Y","")</f>
        <v/>
      </c>
      <c r="L42" s="286" t="str" cm="1">
        <f t="array" ref="L42">IF(SUMPRODUCT(IFERROR(--(INT(Attendance[Start time])=Training_Attendance[[#This Row],[Date]]),0)*IFERROR(--(ISNUMBER(SEARCH(L$1,Attendance[Attendees]))),0)*IFERROR(--(Attendance[Session Type]="Training"),0))&gt;0,"Y","")</f>
        <v/>
      </c>
      <c r="M42" s="286" t="str" cm="1">
        <f t="array" ref="M42">IF(SUMPRODUCT(IFERROR(--(INT(Attendance[Start time])=Training_Attendance[[#This Row],[Date]]),0)*IFERROR(--(ISNUMBER(SEARCH(M$1,Attendance[Attendees]))),0)*IFERROR(--(Attendance[Session Type]="Training"),0))&gt;0,"Y","")</f>
        <v/>
      </c>
      <c r="N42" s="286" t="str" cm="1">
        <f t="array" ref="N42">IF(SUMPRODUCT(IFERROR(--(INT(Attendance[Start time])=Training_Attendance[[#This Row],[Date]]),0)*IFERROR(--(ISNUMBER(SEARCH(N$1,Attendance[Attendees]))),0)*IFERROR(--(Attendance[Session Type]="Training"),0))&gt;0,"Y","")</f>
        <v/>
      </c>
      <c r="O42" s="286" t="str" cm="1">
        <f t="array" ref="O42">IF(SUMPRODUCT(IFERROR(--(INT(Attendance[Start time])=Training_Attendance[[#This Row],[Date]]),0)*IFERROR(--(ISNUMBER(SEARCH(O$1,Attendance[Attendees]))),0)*IFERROR(--(Attendance[Session Type]="Training"),0))&gt;0,"Y","")</f>
        <v/>
      </c>
      <c r="P42" s="286" t="str" cm="1">
        <f t="array" ref="P42">IF(SUMPRODUCT(IFERROR(--(INT(Attendance[Start time])=Training_Attendance[[#This Row],[Date]]),0)*IFERROR(--(ISNUMBER(SEARCH(P$1,Attendance[Attendees]))),0)*IFERROR(--(Attendance[Session Type]="Training"),0))&gt;0,"Y","")</f>
        <v/>
      </c>
      <c r="Q42" s="286" t="str" cm="1">
        <f t="array" ref="Q42">IF(SUMPRODUCT(IFERROR(--(INT(Attendance[Start time])=Training_Attendance[[#This Row],[Date]]),0)*IFERROR(--(ISNUMBER(SEARCH(Q$1,Attendance[Attendees]))),0)*IFERROR(--(Attendance[Session Type]="Training"),0))&gt;0,"Y","")</f>
        <v/>
      </c>
      <c r="R42" s="286" t="str" cm="1">
        <f t="array" ref="R42">IF(SUMPRODUCT(IFERROR(--(INT(Attendance[Start time])=Training_Attendance[[#This Row],[Date]]),0)*IFERROR(--(ISNUMBER(SEARCH(R$1,Attendance[Attendees]))),0)*IFERROR(--(Attendance[Session Type]="Training"),0))&gt;0,"Y","")</f>
        <v/>
      </c>
      <c r="S42" s="286" t="str" cm="1">
        <f t="array" ref="S42">IF(SUMPRODUCT(IFERROR(--(INT(Attendance[Start time])=Training_Attendance[[#This Row],[Date]]),0)*IFERROR(--(ISNUMBER(SEARCH(S$1,Attendance[Attendees]))),0)*IFERROR(--(Attendance[Session Type]="Training"),0))&gt;0,"Y","")</f>
        <v/>
      </c>
      <c r="T42" s="286" t="str" cm="1">
        <f t="array" ref="T42">IF(SUMPRODUCT(IFERROR(--(INT(Attendance[Start time])=Training_Attendance[[#This Row],[Date]]),0)*IFERROR(--(ISNUMBER(SEARCH(T$1,Attendance[Attendees]))),0)*IFERROR(--(Attendance[Session Type]="Training"),0))&gt;0,"Y","")</f>
        <v/>
      </c>
      <c r="U42" s="286" t="str" cm="1">
        <f t="array" ref="U42">IF(SUMPRODUCT(IFERROR(--(INT(Attendance[Start time])=Training_Attendance[[#This Row],[Date]]),0)*IFERROR(--(ISNUMBER(SEARCH(U$1,Attendance[Attendees]))),0)*IFERROR(--(Attendance[Session Type]="Training"),0))&gt;0,"Y","")</f>
        <v/>
      </c>
      <c r="V42" s="286" t="str" cm="1">
        <f t="array" ref="V42">IF(SUMPRODUCT(IFERROR(--(INT(Attendance[Start time])=Training_Attendance[[#This Row],[Date]]),0)*IFERROR(--(ISNUMBER(SEARCH(V$1,Attendance[Attendees]))),0)*IFERROR(--(Attendance[Session Type]="Training"),0))&gt;0,"Y","")</f>
        <v/>
      </c>
      <c r="W42" s="286" t="str" cm="1">
        <f t="array" ref="W42">IF(SUMPRODUCT(IFERROR(--(INT(Attendance[Start time])=Training_Attendance[[#This Row],[Date]]),0)*IFERROR(--(ISNUMBER(SEARCH(W$1,Attendance[Attendees]))),0)*IFERROR(--(Attendance[Session Type]="Training"),0))&gt;0,"Y","")</f>
        <v/>
      </c>
      <c r="X42" s="286" t="str" cm="1">
        <f t="array" ref="X42">IF(SUMPRODUCT(IFERROR(--(INT(Attendance[Start time])=Training_Attendance[[#This Row],[Date]]),0)*IFERROR(--(ISNUMBER(SEARCH(X$1,Attendance[Attendees]))),0)*IFERROR(--(Attendance[Session Type]="Training"),0))&gt;0,"Y","")</f>
        <v/>
      </c>
      <c r="Y42" s="286" t="str" cm="1">
        <f t="array" ref="Y42">IF(SUMPRODUCT(IFERROR(--(INT(Attendance[Start time])=Training_Attendance[[#This Row],[Date]]),0)*IFERROR(--(ISNUMBER(SEARCH(Y$1,Attendance[Attendees]))),0)*IFERROR(--(Attendance[Session Type]="Training"),0))&gt;0,"Y","")</f>
        <v/>
      </c>
      <c r="Z42" s="286" t="str" cm="1">
        <f t="array" ref="Z42">IF(SUMPRODUCT(IFERROR(--(INT(Attendance[Start time])=Training_Attendance[[#This Row],[Date]]),0)*IFERROR(--(ISNUMBER(SEARCH(Z$1,Attendance[Attendees]))),0)*IFERROR(--(Attendance[Session Type]="Training"),0))&gt;0,"Y","")</f>
        <v/>
      </c>
      <c r="AA42" s="286" t="str" cm="1">
        <f t="array" ref="AA42">IF(SUMPRODUCT(IFERROR(--(INT(Attendance[Start time])=Training_Attendance[[#This Row],[Date]]),0)*IFERROR(--(ISNUMBER(SEARCH(AA$1,Attendance[Attendees]))),0)*IFERROR(--(Attendance[Session Type]="Training"),0))&gt;0,"Y","")</f>
        <v/>
      </c>
      <c r="AB42" s="286" t="str" cm="1">
        <f t="array" ref="AB42">IF(SUMPRODUCT(IFERROR(--(INT(Attendance[Start time])=Training_Attendance[[#This Row],[Date]]),0)*IFERROR(--(ISNUMBER(SEARCH(AB$1,Attendance[Attendees]))),0)*IFERROR(--(Attendance[Session Type]="Training"),0))&gt;0,"Y","")</f>
        <v/>
      </c>
      <c r="AC42" s="286" t="str" cm="1">
        <f t="array" ref="AC42">IF(SUMPRODUCT(IFERROR(--(INT(Attendance[Start time])=Training_Attendance[[#This Row],[Date]]),0)*IFERROR(--(ISNUMBER(SEARCH(AC$1,Attendance[Attendees]))),0)*IFERROR(--(Attendance[Session Type]="Training"),0))&gt;0,"Y","")</f>
        <v/>
      </c>
      <c r="AD42" s="265">
        <f>COUNTIF(Training_Attendance[[#This Row],[Alf M]:[Ronnie D]],"Y")</f>
        <v>0</v>
      </c>
      <c r="AE42" s="166"/>
    </row>
    <row r="43" spans="1:31" ht="16" customHeight="1" x14ac:dyDescent="0.35">
      <c r="A43" s="225">
        <v>46554</v>
      </c>
      <c r="B43" s="220">
        <f>Training_Attendance[[#This Row],[Date]]</f>
        <v>46554</v>
      </c>
      <c r="C43" s="166" t="s">
        <v>84</v>
      </c>
      <c r="D43" s="286" t="str" cm="1">
        <f t="array" ref="D43">IF(SUMPRODUCT(IFERROR(--(INT(Attendance[Start time])=Training_Attendance[[#This Row],[Date]]),0)*IFERROR(--(ISNUMBER(SEARCH(D$1,Attendance[Attendees]))),0)*IFERROR(--(Attendance[Session Type]="Training"),0))&gt;0,"Y","")</f>
        <v/>
      </c>
      <c r="E43" s="286" t="str" cm="1">
        <f t="array" ref="E43">IF(SUMPRODUCT(IFERROR(--(INT(Attendance[Start time])=Training_Attendance[[#This Row],[Date]]),0)*IFERROR(--(ISNUMBER(SEARCH(E$1,Attendance[Attendees]))),0)*IFERROR(--(Attendance[Session Type]="Training"),0))&gt;0,"Y","")</f>
        <v/>
      </c>
      <c r="F43" s="286" t="str" cm="1">
        <f t="array" ref="F43">IF(SUMPRODUCT(IFERROR(--(INT(Attendance[Start time])=Training_Attendance[[#This Row],[Date]]),0)*IFERROR(--(ISNUMBER(SEARCH(F$1,Attendance[Attendees]))),0)*IFERROR(--(Attendance[Session Type]="Training"),0))&gt;0,"Y","")</f>
        <v/>
      </c>
      <c r="G43" s="286" t="str" cm="1">
        <f t="array" ref="G43">IF(SUMPRODUCT(IFERROR(--(INT(Attendance[Start time])=Training_Attendance[[#This Row],[Date]]),0)*IFERROR(--(ISNUMBER(SEARCH(G$1,Attendance[Attendees]))),0)*IFERROR(--(Attendance[Session Type]="Training"),0))&gt;0,"Y","")</f>
        <v/>
      </c>
      <c r="H43" s="286" t="str" cm="1">
        <f t="array" ref="H43">IF(SUMPRODUCT(IFERROR(--(INT(Attendance[Start time])=Training_Attendance[[#This Row],[Date]]),0)*IFERROR(--(ISNUMBER(SEARCH(H$1,Attendance[Attendees]))),0)*IFERROR(--(Attendance[Session Type]="Training"),0))&gt;0,"Y","")</f>
        <v/>
      </c>
      <c r="I43" s="286" t="str" cm="1">
        <f t="array" ref="I43">IF(SUMPRODUCT(IFERROR(--(INT(Attendance[Start time])=Training_Attendance[[#This Row],[Date]]),0)*IFERROR(--(ISNUMBER(SEARCH(I$1,Attendance[Attendees]))),0)*IFERROR(--(Attendance[Session Type]="Training"),0))&gt;0,"Y","")</f>
        <v/>
      </c>
      <c r="J43" s="286" t="str" cm="1">
        <f t="array" ref="J43">IF(SUMPRODUCT(IFERROR(--(INT(Attendance[Start time])=Training_Attendance[[#This Row],[Date]]),0)*IFERROR(--(ISNUMBER(SEARCH(J$1,Attendance[Attendees]))),0)*IFERROR(--(Attendance[Session Type]="Training"),0))&gt;0,"Y","")</f>
        <v/>
      </c>
      <c r="K43" s="286" t="str" cm="1">
        <f t="array" ref="K43">IF(SUMPRODUCT(IFERROR(--(INT(Attendance[Start time])=Training_Attendance[[#This Row],[Date]]),0)*IFERROR(--(ISNUMBER(SEARCH(K$1,Attendance[Attendees]))),0)*IFERROR(--(Attendance[Session Type]="Training"),0))&gt;0,"Y","")</f>
        <v/>
      </c>
      <c r="L43" s="286" t="str" cm="1">
        <f t="array" ref="L43">IF(SUMPRODUCT(IFERROR(--(INT(Attendance[Start time])=Training_Attendance[[#This Row],[Date]]),0)*IFERROR(--(ISNUMBER(SEARCH(L$1,Attendance[Attendees]))),0)*IFERROR(--(Attendance[Session Type]="Training"),0))&gt;0,"Y","")</f>
        <v/>
      </c>
      <c r="M43" s="286" t="str" cm="1">
        <f t="array" ref="M43">IF(SUMPRODUCT(IFERROR(--(INT(Attendance[Start time])=Training_Attendance[[#This Row],[Date]]),0)*IFERROR(--(ISNUMBER(SEARCH(M$1,Attendance[Attendees]))),0)*IFERROR(--(Attendance[Session Type]="Training"),0))&gt;0,"Y","")</f>
        <v/>
      </c>
      <c r="N43" s="286" t="str" cm="1">
        <f t="array" ref="N43">IF(SUMPRODUCT(IFERROR(--(INT(Attendance[Start time])=Training_Attendance[[#This Row],[Date]]),0)*IFERROR(--(ISNUMBER(SEARCH(N$1,Attendance[Attendees]))),0)*IFERROR(--(Attendance[Session Type]="Training"),0))&gt;0,"Y","")</f>
        <v/>
      </c>
      <c r="O43" s="286" t="str" cm="1">
        <f t="array" ref="O43">IF(SUMPRODUCT(IFERROR(--(INT(Attendance[Start time])=Training_Attendance[[#This Row],[Date]]),0)*IFERROR(--(ISNUMBER(SEARCH(O$1,Attendance[Attendees]))),0)*IFERROR(--(Attendance[Session Type]="Training"),0))&gt;0,"Y","")</f>
        <v/>
      </c>
      <c r="P43" s="286" t="str" cm="1">
        <f t="array" ref="P43">IF(SUMPRODUCT(IFERROR(--(INT(Attendance[Start time])=Training_Attendance[[#This Row],[Date]]),0)*IFERROR(--(ISNUMBER(SEARCH(P$1,Attendance[Attendees]))),0)*IFERROR(--(Attendance[Session Type]="Training"),0))&gt;0,"Y","")</f>
        <v/>
      </c>
      <c r="Q43" s="286" t="str" cm="1">
        <f t="array" ref="Q43">IF(SUMPRODUCT(IFERROR(--(INT(Attendance[Start time])=Training_Attendance[[#This Row],[Date]]),0)*IFERROR(--(ISNUMBER(SEARCH(Q$1,Attendance[Attendees]))),0)*IFERROR(--(Attendance[Session Type]="Training"),0))&gt;0,"Y","")</f>
        <v/>
      </c>
      <c r="R43" s="286" t="str" cm="1">
        <f t="array" ref="R43">IF(SUMPRODUCT(IFERROR(--(INT(Attendance[Start time])=Training_Attendance[[#This Row],[Date]]),0)*IFERROR(--(ISNUMBER(SEARCH(R$1,Attendance[Attendees]))),0)*IFERROR(--(Attendance[Session Type]="Training"),0))&gt;0,"Y","")</f>
        <v/>
      </c>
      <c r="S43" s="286" t="str" cm="1">
        <f t="array" ref="S43">IF(SUMPRODUCT(IFERROR(--(INT(Attendance[Start time])=Training_Attendance[[#This Row],[Date]]),0)*IFERROR(--(ISNUMBER(SEARCH(S$1,Attendance[Attendees]))),0)*IFERROR(--(Attendance[Session Type]="Training"),0))&gt;0,"Y","")</f>
        <v/>
      </c>
      <c r="T43" s="286" t="str" cm="1">
        <f t="array" ref="T43">IF(SUMPRODUCT(IFERROR(--(INT(Attendance[Start time])=Training_Attendance[[#This Row],[Date]]),0)*IFERROR(--(ISNUMBER(SEARCH(T$1,Attendance[Attendees]))),0)*IFERROR(--(Attendance[Session Type]="Training"),0))&gt;0,"Y","")</f>
        <v/>
      </c>
      <c r="U43" s="286" t="str" cm="1">
        <f t="array" ref="U43">IF(SUMPRODUCT(IFERROR(--(INT(Attendance[Start time])=Training_Attendance[[#This Row],[Date]]),0)*IFERROR(--(ISNUMBER(SEARCH(U$1,Attendance[Attendees]))),0)*IFERROR(--(Attendance[Session Type]="Training"),0))&gt;0,"Y","")</f>
        <v/>
      </c>
      <c r="V43" s="286" t="str" cm="1">
        <f t="array" ref="V43">IF(SUMPRODUCT(IFERROR(--(INT(Attendance[Start time])=Training_Attendance[[#This Row],[Date]]),0)*IFERROR(--(ISNUMBER(SEARCH(V$1,Attendance[Attendees]))),0)*IFERROR(--(Attendance[Session Type]="Training"),0))&gt;0,"Y","")</f>
        <v/>
      </c>
      <c r="W43" s="286" t="str" cm="1">
        <f t="array" ref="W43">IF(SUMPRODUCT(IFERROR(--(INT(Attendance[Start time])=Training_Attendance[[#This Row],[Date]]),0)*IFERROR(--(ISNUMBER(SEARCH(W$1,Attendance[Attendees]))),0)*IFERROR(--(Attendance[Session Type]="Training"),0))&gt;0,"Y","")</f>
        <v/>
      </c>
      <c r="X43" s="286" t="str" cm="1">
        <f t="array" ref="X43">IF(SUMPRODUCT(IFERROR(--(INT(Attendance[Start time])=Training_Attendance[[#This Row],[Date]]),0)*IFERROR(--(ISNUMBER(SEARCH(X$1,Attendance[Attendees]))),0)*IFERROR(--(Attendance[Session Type]="Training"),0))&gt;0,"Y","")</f>
        <v/>
      </c>
      <c r="Y43" s="286" t="str" cm="1">
        <f t="array" ref="Y43">IF(SUMPRODUCT(IFERROR(--(INT(Attendance[Start time])=Training_Attendance[[#This Row],[Date]]),0)*IFERROR(--(ISNUMBER(SEARCH(Y$1,Attendance[Attendees]))),0)*IFERROR(--(Attendance[Session Type]="Training"),0))&gt;0,"Y","")</f>
        <v/>
      </c>
      <c r="Z43" s="286" t="str" cm="1">
        <f t="array" ref="Z43">IF(SUMPRODUCT(IFERROR(--(INT(Attendance[Start time])=Training_Attendance[[#This Row],[Date]]),0)*IFERROR(--(ISNUMBER(SEARCH(Z$1,Attendance[Attendees]))),0)*IFERROR(--(Attendance[Session Type]="Training"),0))&gt;0,"Y","")</f>
        <v/>
      </c>
      <c r="AA43" s="286" t="str" cm="1">
        <f t="array" ref="AA43">IF(SUMPRODUCT(IFERROR(--(INT(Attendance[Start time])=Training_Attendance[[#This Row],[Date]]),0)*IFERROR(--(ISNUMBER(SEARCH(AA$1,Attendance[Attendees]))),0)*IFERROR(--(Attendance[Session Type]="Training"),0))&gt;0,"Y","")</f>
        <v/>
      </c>
      <c r="AB43" s="286" t="str" cm="1">
        <f t="array" ref="AB43">IF(SUMPRODUCT(IFERROR(--(INT(Attendance[Start time])=Training_Attendance[[#This Row],[Date]]),0)*IFERROR(--(ISNUMBER(SEARCH(AB$1,Attendance[Attendees]))),0)*IFERROR(--(Attendance[Session Type]="Training"),0))&gt;0,"Y","")</f>
        <v/>
      </c>
      <c r="AC43" s="286" t="str" cm="1">
        <f t="array" ref="AC43">IF(SUMPRODUCT(IFERROR(--(INT(Attendance[Start time])=Training_Attendance[[#This Row],[Date]]),0)*IFERROR(--(ISNUMBER(SEARCH(AC$1,Attendance[Attendees]))),0)*IFERROR(--(Attendance[Session Type]="Training"),0))&gt;0,"Y","")</f>
        <v/>
      </c>
      <c r="AD43" s="265">
        <f>COUNTIF(Training_Attendance[[#This Row],[Alf M]:[Ronnie D]],"Y")</f>
        <v>0</v>
      </c>
      <c r="AE43" s="166"/>
    </row>
    <row r="44" spans="1:31" ht="16" customHeight="1" x14ac:dyDescent="0.35">
      <c r="A44" s="225">
        <v>46561</v>
      </c>
      <c r="B44" s="220">
        <f>Training_Attendance[[#This Row],[Date]]</f>
        <v>46561</v>
      </c>
      <c r="C44" s="166" t="s">
        <v>84</v>
      </c>
      <c r="D44" s="286" t="str" cm="1">
        <f t="array" ref="D44">IF(SUMPRODUCT(IFERROR(--(INT(Attendance[Start time])=Training_Attendance[[#This Row],[Date]]),0)*IFERROR(--(ISNUMBER(SEARCH(D$1,Attendance[Attendees]))),0)*IFERROR(--(Attendance[Session Type]="Training"),0))&gt;0,"Y","")</f>
        <v/>
      </c>
      <c r="E44" s="286" t="str" cm="1">
        <f t="array" ref="E44">IF(SUMPRODUCT(IFERROR(--(INT(Attendance[Start time])=Training_Attendance[[#This Row],[Date]]),0)*IFERROR(--(ISNUMBER(SEARCH(E$1,Attendance[Attendees]))),0)*IFERROR(--(Attendance[Session Type]="Training"),0))&gt;0,"Y","")</f>
        <v/>
      </c>
      <c r="F44" s="286" t="str" cm="1">
        <f t="array" ref="F44">IF(SUMPRODUCT(IFERROR(--(INT(Attendance[Start time])=Training_Attendance[[#This Row],[Date]]),0)*IFERROR(--(ISNUMBER(SEARCH(F$1,Attendance[Attendees]))),0)*IFERROR(--(Attendance[Session Type]="Training"),0))&gt;0,"Y","")</f>
        <v/>
      </c>
      <c r="G44" s="286" t="str" cm="1">
        <f t="array" ref="G44">IF(SUMPRODUCT(IFERROR(--(INT(Attendance[Start time])=Training_Attendance[[#This Row],[Date]]),0)*IFERROR(--(ISNUMBER(SEARCH(G$1,Attendance[Attendees]))),0)*IFERROR(--(Attendance[Session Type]="Training"),0))&gt;0,"Y","")</f>
        <v/>
      </c>
      <c r="H44" s="286" t="str" cm="1">
        <f t="array" ref="H44">IF(SUMPRODUCT(IFERROR(--(INT(Attendance[Start time])=Training_Attendance[[#This Row],[Date]]),0)*IFERROR(--(ISNUMBER(SEARCH(H$1,Attendance[Attendees]))),0)*IFERROR(--(Attendance[Session Type]="Training"),0))&gt;0,"Y","")</f>
        <v/>
      </c>
      <c r="I44" s="286" t="str" cm="1">
        <f t="array" ref="I44">IF(SUMPRODUCT(IFERROR(--(INT(Attendance[Start time])=Training_Attendance[[#This Row],[Date]]),0)*IFERROR(--(ISNUMBER(SEARCH(I$1,Attendance[Attendees]))),0)*IFERROR(--(Attendance[Session Type]="Training"),0))&gt;0,"Y","")</f>
        <v/>
      </c>
      <c r="J44" s="286" t="str" cm="1">
        <f t="array" ref="J44">IF(SUMPRODUCT(IFERROR(--(INT(Attendance[Start time])=Training_Attendance[[#This Row],[Date]]),0)*IFERROR(--(ISNUMBER(SEARCH(J$1,Attendance[Attendees]))),0)*IFERROR(--(Attendance[Session Type]="Training"),0))&gt;0,"Y","")</f>
        <v/>
      </c>
      <c r="K44" s="286" t="str" cm="1">
        <f t="array" ref="K44">IF(SUMPRODUCT(IFERROR(--(INT(Attendance[Start time])=Training_Attendance[[#This Row],[Date]]),0)*IFERROR(--(ISNUMBER(SEARCH(K$1,Attendance[Attendees]))),0)*IFERROR(--(Attendance[Session Type]="Training"),0))&gt;0,"Y","")</f>
        <v/>
      </c>
      <c r="L44" s="286" t="str" cm="1">
        <f t="array" ref="L44">IF(SUMPRODUCT(IFERROR(--(INT(Attendance[Start time])=Training_Attendance[[#This Row],[Date]]),0)*IFERROR(--(ISNUMBER(SEARCH(L$1,Attendance[Attendees]))),0)*IFERROR(--(Attendance[Session Type]="Training"),0))&gt;0,"Y","")</f>
        <v/>
      </c>
      <c r="M44" s="286" t="str" cm="1">
        <f t="array" ref="M44">IF(SUMPRODUCT(IFERROR(--(INT(Attendance[Start time])=Training_Attendance[[#This Row],[Date]]),0)*IFERROR(--(ISNUMBER(SEARCH(M$1,Attendance[Attendees]))),0)*IFERROR(--(Attendance[Session Type]="Training"),0))&gt;0,"Y","")</f>
        <v/>
      </c>
      <c r="N44" s="286" t="str" cm="1">
        <f t="array" ref="N44">IF(SUMPRODUCT(IFERROR(--(INT(Attendance[Start time])=Training_Attendance[[#This Row],[Date]]),0)*IFERROR(--(ISNUMBER(SEARCH(N$1,Attendance[Attendees]))),0)*IFERROR(--(Attendance[Session Type]="Training"),0))&gt;0,"Y","")</f>
        <v/>
      </c>
      <c r="O44" s="286" t="str" cm="1">
        <f t="array" ref="O44">IF(SUMPRODUCT(IFERROR(--(INT(Attendance[Start time])=Training_Attendance[[#This Row],[Date]]),0)*IFERROR(--(ISNUMBER(SEARCH(O$1,Attendance[Attendees]))),0)*IFERROR(--(Attendance[Session Type]="Training"),0))&gt;0,"Y","")</f>
        <v/>
      </c>
      <c r="P44" s="286" t="str" cm="1">
        <f t="array" ref="P44">IF(SUMPRODUCT(IFERROR(--(INT(Attendance[Start time])=Training_Attendance[[#This Row],[Date]]),0)*IFERROR(--(ISNUMBER(SEARCH(P$1,Attendance[Attendees]))),0)*IFERROR(--(Attendance[Session Type]="Training"),0))&gt;0,"Y","")</f>
        <v/>
      </c>
      <c r="Q44" s="286" t="str" cm="1">
        <f t="array" ref="Q44">IF(SUMPRODUCT(IFERROR(--(INT(Attendance[Start time])=Training_Attendance[[#This Row],[Date]]),0)*IFERROR(--(ISNUMBER(SEARCH(Q$1,Attendance[Attendees]))),0)*IFERROR(--(Attendance[Session Type]="Training"),0))&gt;0,"Y","")</f>
        <v/>
      </c>
      <c r="R44" s="286" t="str" cm="1">
        <f t="array" ref="R44">IF(SUMPRODUCT(IFERROR(--(INT(Attendance[Start time])=Training_Attendance[[#This Row],[Date]]),0)*IFERROR(--(ISNUMBER(SEARCH(R$1,Attendance[Attendees]))),0)*IFERROR(--(Attendance[Session Type]="Training"),0))&gt;0,"Y","")</f>
        <v/>
      </c>
      <c r="S44" s="286" t="str" cm="1">
        <f t="array" ref="S44">IF(SUMPRODUCT(IFERROR(--(INT(Attendance[Start time])=Training_Attendance[[#This Row],[Date]]),0)*IFERROR(--(ISNUMBER(SEARCH(S$1,Attendance[Attendees]))),0)*IFERROR(--(Attendance[Session Type]="Training"),0))&gt;0,"Y","")</f>
        <v/>
      </c>
      <c r="T44" s="286" t="str" cm="1">
        <f t="array" ref="T44">IF(SUMPRODUCT(IFERROR(--(INT(Attendance[Start time])=Training_Attendance[[#This Row],[Date]]),0)*IFERROR(--(ISNUMBER(SEARCH(T$1,Attendance[Attendees]))),0)*IFERROR(--(Attendance[Session Type]="Training"),0))&gt;0,"Y","")</f>
        <v/>
      </c>
      <c r="U44" s="286" t="str" cm="1">
        <f t="array" ref="U44">IF(SUMPRODUCT(IFERROR(--(INT(Attendance[Start time])=Training_Attendance[[#This Row],[Date]]),0)*IFERROR(--(ISNUMBER(SEARCH(U$1,Attendance[Attendees]))),0)*IFERROR(--(Attendance[Session Type]="Training"),0))&gt;0,"Y","")</f>
        <v/>
      </c>
      <c r="V44" s="286" t="str" cm="1">
        <f t="array" ref="V44">IF(SUMPRODUCT(IFERROR(--(INT(Attendance[Start time])=Training_Attendance[[#This Row],[Date]]),0)*IFERROR(--(ISNUMBER(SEARCH(V$1,Attendance[Attendees]))),0)*IFERROR(--(Attendance[Session Type]="Training"),0))&gt;0,"Y","")</f>
        <v/>
      </c>
      <c r="W44" s="286" t="str" cm="1">
        <f t="array" ref="W44">IF(SUMPRODUCT(IFERROR(--(INT(Attendance[Start time])=Training_Attendance[[#This Row],[Date]]),0)*IFERROR(--(ISNUMBER(SEARCH(W$1,Attendance[Attendees]))),0)*IFERROR(--(Attendance[Session Type]="Training"),0))&gt;0,"Y","")</f>
        <v/>
      </c>
      <c r="X44" s="286" t="str" cm="1">
        <f t="array" ref="X44">IF(SUMPRODUCT(IFERROR(--(INT(Attendance[Start time])=Training_Attendance[[#This Row],[Date]]),0)*IFERROR(--(ISNUMBER(SEARCH(X$1,Attendance[Attendees]))),0)*IFERROR(--(Attendance[Session Type]="Training"),0))&gt;0,"Y","")</f>
        <v/>
      </c>
      <c r="Y44" s="286" t="str" cm="1">
        <f t="array" ref="Y44">IF(SUMPRODUCT(IFERROR(--(INT(Attendance[Start time])=Training_Attendance[[#This Row],[Date]]),0)*IFERROR(--(ISNUMBER(SEARCH(Y$1,Attendance[Attendees]))),0)*IFERROR(--(Attendance[Session Type]="Training"),0))&gt;0,"Y","")</f>
        <v/>
      </c>
      <c r="Z44" s="286" t="str" cm="1">
        <f t="array" ref="Z44">IF(SUMPRODUCT(IFERROR(--(INT(Attendance[Start time])=Training_Attendance[[#This Row],[Date]]),0)*IFERROR(--(ISNUMBER(SEARCH(Z$1,Attendance[Attendees]))),0)*IFERROR(--(Attendance[Session Type]="Training"),0))&gt;0,"Y","")</f>
        <v/>
      </c>
      <c r="AA44" s="286" t="str" cm="1">
        <f t="array" ref="AA44">IF(SUMPRODUCT(IFERROR(--(INT(Attendance[Start time])=Training_Attendance[[#This Row],[Date]]),0)*IFERROR(--(ISNUMBER(SEARCH(AA$1,Attendance[Attendees]))),0)*IFERROR(--(Attendance[Session Type]="Training"),0))&gt;0,"Y","")</f>
        <v/>
      </c>
      <c r="AB44" s="286" t="str" cm="1">
        <f t="array" ref="AB44">IF(SUMPRODUCT(IFERROR(--(INT(Attendance[Start time])=Training_Attendance[[#This Row],[Date]]),0)*IFERROR(--(ISNUMBER(SEARCH(AB$1,Attendance[Attendees]))),0)*IFERROR(--(Attendance[Session Type]="Training"),0))&gt;0,"Y","")</f>
        <v/>
      </c>
      <c r="AC44" s="286" t="str" cm="1">
        <f t="array" ref="AC44">IF(SUMPRODUCT(IFERROR(--(INT(Attendance[Start time])=Training_Attendance[[#This Row],[Date]]),0)*IFERROR(--(ISNUMBER(SEARCH(AC$1,Attendance[Attendees]))),0)*IFERROR(--(Attendance[Session Type]="Training"),0))&gt;0,"Y","")</f>
        <v/>
      </c>
      <c r="AD44" s="265">
        <f>COUNTIF(Training_Attendance[[#This Row],[Alf M]:[Ronnie D]],"Y")</f>
        <v>0</v>
      </c>
      <c r="AE44" s="166"/>
    </row>
    <row r="45" spans="1:31" ht="16" customHeight="1" x14ac:dyDescent="0.35">
      <c r="A45" s="225">
        <v>46568</v>
      </c>
      <c r="B45" s="220">
        <f>Training_Attendance[[#This Row],[Date]]</f>
        <v>46568</v>
      </c>
      <c r="C45" s="166" t="s">
        <v>84</v>
      </c>
      <c r="D45" s="286" t="str" cm="1">
        <f t="array" ref="D45">IF(SUMPRODUCT(IFERROR(--(INT(Attendance[Start time])=Training_Attendance[[#This Row],[Date]]),0)*IFERROR(--(ISNUMBER(SEARCH(D$1,Attendance[Attendees]))),0)*IFERROR(--(Attendance[Session Type]="Training"),0))&gt;0,"Y","")</f>
        <v/>
      </c>
      <c r="E45" s="286" t="str" cm="1">
        <f t="array" ref="E45">IF(SUMPRODUCT(IFERROR(--(INT(Attendance[Start time])=Training_Attendance[[#This Row],[Date]]),0)*IFERROR(--(ISNUMBER(SEARCH(E$1,Attendance[Attendees]))),0)*IFERROR(--(Attendance[Session Type]="Training"),0))&gt;0,"Y","")</f>
        <v/>
      </c>
      <c r="F45" s="286" t="str" cm="1">
        <f t="array" ref="F45">IF(SUMPRODUCT(IFERROR(--(INT(Attendance[Start time])=Training_Attendance[[#This Row],[Date]]),0)*IFERROR(--(ISNUMBER(SEARCH(F$1,Attendance[Attendees]))),0)*IFERROR(--(Attendance[Session Type]="Training"),0))&gt;0,"Y","")</f>
        <v/>
      </c>
      <c r="G45" s="286" t="str" cm="1">
        <f t="array" ref="G45">IF(SUMPRODUCT(IFERROR(--(INT(Attendance[Start time])=Training_Attendance[[#This Row],[Date]]),0)*IFERROR(--(ISNUMBER(SEARCH(G$1,Attendance[Attendees]))),0)*IFERROR(--(Attendance[Session Type]="Training"),0))&gt;0,"Y","")</f>
        <v/>
      </c>
      <c r="H45" s="286" t="str" cm="1">
        <f t="array" ref="H45">IF(SUMPRODUCT(IFERROR(--(INT(Attendance[Start time])=Training_Attendance[[#This Row],[Date]]),0)*IFERROR(--(ISNUMBER(SEARCH(H$1,Attendance[Attendees]))),0)*IFERROR(--(Attendance[Session Type]="Training"),0))&gt;0,"Y","")</f>
        <v/>
      </c>
      <c r="I45" s="286" t="str" cm="1">
        <f t="array" ref="I45">IF(SUMPRODUCT(IFERROR(--(INT(Attendance[Start time])=Training_Attendance[[#This Row],[Date]]),0)*IFERROR(--(ISNUMBER(SEARCH(I$1,Attendance[Attendees]))),0)*IFERROR(--(Attendance[Session Type]="Training"),0))&gt;0,"Y","")</f>
        <v/>
      </c>
      <c r="J45" s="286" t="str" cm="1">
        <f t="array" ref="J45">IF(SUMPRODUCT(IFERROR(--(INT(Attendance[Start time])=Training_Attendance[[#This Row],[Date]]),0)*IFERROR(--(ISNUMBER(SEARCH(J$1,Attendance[Attendees]))),0)*IFERROR(--(Attendance[Session Type]="Training"),0))&gt;0,"Y","")</f>
        <v/>
      </c>
      <c r="K45" s="286" t="str" cm="1">
        <f t="array" ref="K45">IF(SUMPRODUCT(IFERROR(--(INT(Attendance[Start time])=Training_Attendance[[#This Row],[Date]]),0)*IFERROR(--(ISNUMBER(SEARCH(K$1,Attendance[Attendees]))),0)*IFERROR(--(Attendance[Session Type]="Training"),0))&gt;0,"Y","")</f>
        <v/>
      </c>
      <c r="L45" s="286" t="str" cm="1">
        <f t="array" ref="L45">IF(SUMPRODUCT(IFERROR(--(INT(Attendance[Start time])=Training_Attendance[[#This Row],[Date]]),0)*IFERROR(--(ISNUMBER(SEARCH(L$1,Attendance[Attendees]))),0)*IFERROR(--(Attendance[Session Type]="Training"),0))&gt;0,"Y","")</f>
        <v/>
      </c>
      <c r="M45" s="286" t="str" cm="1">
        <f t="array" ref="M45">IF(SUMPRODUCT(IFERROR(--(INT(Attendance[Start time])=Training_Attendance[[#This Row],[Date]]),0)*IFERROR(--(ISNUMBER(SEARCH(M$1,Attendance[Attendees]))),0)*IFERROR(--(Attendance[Session Type]="Training"),0))&gt;0,"Y","")</f>
        <v/>
      </c>
      <c r="N45" s="286" t="str" cm="1">
        <f t="array" ref="N45">IF(SUMPRODUCT(IFERROR(--(INT(Attendance[Start time])=Training_Attendance[[#This Row],[Date]]),0)*IFERROR(--(ISNUMBER(SEARCH(N$1,Attendance[Attendees]))),0)*IFERROR(--(Attendance[Session Type]="Training"),0))&gt;0,"Y","")</f>
        <v/>
      </c>
      <c r="O45" s="286" t="str" cm="1">
        <f t="array" ref="O45">IF(SUMPRODUCT(IFERROR(--(INT(Attendance[Start time])=Training_Attendance[[#This Row],[Date]]),0)*IFERROR(--(ISNUMBER(SEARCH(O$1,Attendance[Attendees]))),0)*IFERROR(--(Attendance[Session Type]="Training"),0))&gt;0,"Y","")</f>
        <v/>
      </c>
      <c r="P45" s="286" t="str" cm="1">
        <f t="array" ref="P45">IF(SUMPRODUCT(IFERROR(--(INT(Attendance[Start time])=Training_Attendance[[#This Row],[Date]]),0)*IFERROR(--(ISNUMBER(SEARCH(P$1,Attendance[Attendees]))),0)*IFERROR(--(Attendance[Session Type]="Training"),0))&gt;0,"Y","")</f>
        <v/>
      </c>
      <c r="Q45" s="286" t="str" cm="1">
        <f t="array" ref="Q45">IF(SUMPRODUCT(IFERROR(--(INT(Attendance[Start time])=Training_Attendance[[#This Row],[Date]]),0)*IFERROR(--(ISNUMBER(SEARCH(Q$1,Attendance[Attendees]))),0)*IFERROR(--(Attendance[Session Type]="Training"),0))&gt;0,"Y","")</f>
        <v/>
      </c>
      <c r="R45" s="286" t="str" cm="1">
        <f t="array" ref="R45">IF(SUMPRODUCT(IFERROR(--(INT(Attendance[Start time])=Training_Attendance[[#This Row],[Date]]),0)*IFERROR(--(ISNUMBER(SEARCH(R$1,Attendance[Attendees]))),0)*IFERROR(--(Attendance[Session Type]="Training"),0))&gt;0,"Y","")</f>
        <v/>
      </c>
      <c r="S45" s="286" t="str" cm="1">
        <f t="array" ref="S45">IF(SUMPRODUCT(IFERROR(--(INT(Attendance[Start time])=Training_Attendance[[#This Row],[Date]]),0)*IFERROR(--(ISNUMBER(SEARCH(S$1,Attendance[Attendees]))),0)*IFERROR(--(Attendance[Session Type]="Training"),0))&gt;0,"Y","")</f>
        <v/>
      </c>
      <c r="T45" s="286" t="str" cm="1">
        <f t="array" ref="T45">IF(SUMPRODUCT(IFERROR(--(INT(Attendance[Start time])=Training_Attendance[[#This Row],[Date]]),0)*IFERROR(--(ISNUMBER(SEARCH(T$1,Attendance[Attendees]))),0)*IFERROR(--(Attendance[Session Type]="Training"),0))&gt;0,"Y","")</f>
        <v/>
      </c>
      <c r="U45" s="286" t="str" cm="1">
        <f t="array" ref="U45">IF(SUMPRODUCT(IFERROR(--(INT(Attendance[Start time])=Training_Attendance[[#This Row],[Date]]),0)*IFERROR(--(ISNUMBER(SEARCH(U$1,Attendance[Attendees]))),0)*IFERROR(--(Attendance[Session Type]="Training"),0))&gt;0,"Y","")</f>
        <v/>
      </c>
      <c r="V45" s="286" t="str" cm="1">
        <f t="array" ref="V45">IF(SUMPRODUCT(IFERROR(--(INT(Attendance[Start time])=Training_Attendance[[#This Row],[Date]]),0)*IFERROR(--(ISNUMBER(SEARCH(V$1,Attendance[Attendees]))),0)*IFERROR(--(Attendance[Session Type]="Training"),0))&gt;0,"Y","")</f>
        <v/>
      </c>
      <c r="W45" s="286" t="str" cm="1">
        <f t="array" ref="W45">IF(SUMPRODUCT(IFERROR(--(INT(Attendance[Start time])=Training_Attendance[[#This Row],[Date]]),0)*IFERROR(--(ISNUMBER(SEARCH(W$1,Attendance[Attendees]))),0)*IFERROR(--(Attendance[Session Type]="Training"),0))&gt;0,"Y","")</f>
        <v/>
      </c>
      <c r="X45" s="286" t="str" cm="1">
        <f t="array" ref="X45">IF(SUMPRODUCT(IFERROR(--(INT(Attendance[Start time])=Training_Attendance[[#This Row],[Date]]),0)*IFERROR(--(ISNUMBER(SEARCH(X$1,Attendance[Attendees]))),0)*IFERROR(--(Attendance[Session Type]="Training"),0))&gt;0,"Y","")</f>
        <v/>
      </c>
      <c r="Y45" s="286" t="str" cm="1">
        <f t="array" ref="Y45">IF(SUMPRODUCT(IFERROR(--(INT(Attendance[Start time])=Training_Attendance[[#This Row],[Date]]),0)*IFERROR(--(ISNUMBER(SEARCH(Y$1,Attendance[Attendees]))),0)*IFERROR(--(Attendance[Session Type]="Training"),0))&gt;0,"Y","")</f>
        <v/>
      </c>
      <c r="Z45" s="286" t="str" cm="1">
        <f t="array" ref="Z45">IF(SUMPRODUCT(IFERROR(--(INT(Attendance[Start time])=Training_Attendance[[#This Row],[Date]]),0)*IFERROR(--(ISNUMBER(SEARCH(Z$1,Attendance[Attendees]))),0)*IFERROR(--(Attendance[Session Type]="Training"),0))&gt;0,"Y","")</f>
        <v/>
      </c>
      <c r="AA45" s="286" t="str" cm="1">
        <f t="array" ref="AA45">IF(SUMPRODUCT(IFERROR(--(INT(Attendance[Start time])=Training_Attendance[[#This Row],[Date]]),0)*IFERROR(--(ISNUMBER(SEARCH(AA$1,Attendance[Attendees]))),0)*IFERROR(--(Attendance[Session Type]="Training"),0))&gt;0,"Y","")</f>
        <v/>
      </c>
      <c r="AB45" s="286" t="str" cm="1">
        <f t="array" ref="AB45">IF(SUMPRODUCT(IFERROR(--(INT(Attendance[Start time])=Training_Attendance[[#This Row],[Date]]),0)*IFERROR(--(ISNUMBER(SEARCH(AB$1,Attendance[Attendees]))),0)*IFERROR(--(Attendance[Session Type]="Training"),0))&gt;0,"Y","")</f>
        <v/>
      </c>
      <c r="AC45" s="286" t="str" cm="1">
        <f t="array" ref="AC45">IF(SUMPRODUCT(IFERROR(--(INT(Attendance[Start time])=Training_Attendance[[#This Row],[Date]]),0)*IFERROR(--(ISNUMBER(SEARCH(AC$1,Attendance[Attendees]))),0)*IFERROR(--(Attendance[Session Type]="Training"),0))&gt;0,"Y","")</f>
        <v/>
      </c>
      <c r="AD45" s="265">
        <f>COUNTIF(Training_Attendance[[#This Row],[Alf M]:[Ronnie D]],"Y")</f>
        <v>0</v>
      </c>
      <c r="AE45" s="166"/>
    </row>
    <row r="46" spans="1:31" ht="16" customHeight="1" x14ac:dyDescent="0.35">
      <c r="A46" s="225">
        <v>46575</v>
      </c>
      <c r="B46" s="220">
        <f>Training_Attendance[[#This Row],[Date]]</f>
        <v>46575</v>
      </c>
      <c r="C46" s="166" t="s">
        <v>84</v>
      </c>
      <c r="D46" s="286" t="str" cm="1">
        <f t="array" ref="D46">IF(SUMPRODUCT(IFERROR(--(INT(Attendance[Start time])=Training_Attendance[[#This Row],[Date]]),0)*IFERROR(--(ISNUMBER(SEARCH(D$1,Attendance[Attendees]))),0)*IFERROR(--(Attendance[Session Type]="Training"),0))&gt;0,"Y","")</f>
        <v/>
      </c>
      <c r="E46" s="286" t="str" cm="1">
        <f t="array" ref="E46">IF(SUMPRODUCT(IFERROR(--(INT(Attendance[Start time])=Training_Attendance[[#This Row],[Date]]),0)*IFERROR(--(ISNUMBER(SEARCH(E$1,Attendance[Attendees]))),0)*IFERROR(--(Attendance[Session Type]="Training"),0))&gt;0,"Y","")</f>
        <v/>
      </c>
      <c r="F46" s="286" t="str" cm="1">
        <f t="array" ref="F46">IF(SUMPRODUCT(IFERROR(--(INT(Attendance[Start time])=Training_Attendance[[#This Row],[Date]]),0)*IFERROR(--(ISNUMBER(SEARCH(F$1,Attendance[Attendees]))),0)*IFERROR(--(Attendance[Session Type]="Training"),0))&gt;0,"Y","")</f>
        <v/>
      </c>
      <c r="G46" s="286" t="str" cm="1">
        <f t="array" ref="G46">IF(SUMPRODUCT(IFERROR(--(INT(Attendance[Start time])=Training_Attendance[[#This Row],[Date]]),0)*IFERROR(--(ISNUMBER(SEARCH(G$1,Attendance[Attendees]))),0)*IFERROR(--(Attendance[Session Type]="Training"),0))&gt;0,"Y","")</f>
        <v/>
      </c>
      <c r="H46" s="286" t="str" cm="1">
        <f t="array" ref="H46">IF(SUMPRODUCT(IFERROR(--(INT(Attendance[Start time])=Training_Attendance[[#This Row],[Date]]),0)*IFERROR(--(ISNUMBER(SEARCH(H$1,Attendance[Attendees]))),0)*IFERROR(--(Attendance[Session Type]="Training"),0))&gt;0,"Y","")</f>
        <v/>
      </c>
      <c r="I46" s="286" t="str" cm="1">
        <f t="array" ref="I46">IF(SUMPRODUCT(IFERROR(--(INT(Attendance[Start time])=Training_Attendance[[#This Row],[Date]]),0)*IFERROR(--(ISNUMBER(SEARCH(I$1,Attendance[Attendees]))),0)*IFERROR(--(Attendance[Session Type]="Training"),0))&gt;0,"Y","")</f>
        <v/>
      </c>
      <c r="J46" s="286" t="str" cm="1">
        <f t="array" ref="J46">IF(SUMPRODUCT(IFERROR(--(INT(Attendance[Start time])=Training_Attendance[[#This Row],[Date]]),0)*IFERROR(--(ISNUMBER(SEARCH(J$1,Attendance[Attendees]))),0)*IFERROR(--(Attendance[Session Type]="Training"),0))&gt;0,"Y","")</f>
        <v/>
      </c>
      <c r="K46" s="286" t="str" cm="1">
        <f t="array" ref="K46">IF(SUMPRODUCT(IFERROR(--(INT(Attendance[Start time])=Training_Attendance[[#This Row],[Date]]),0)*IFERROR(--(ISNUMBER(SEARCH(K$1,Attendance[Attendees]))),0)*IFERROR(--(Attendance[Session Type]="Training"),0))&gt;0,"Y","")</f>
        <v/>
      </c>
      <c r="L46" s="286" t="str" cm="1">
        <f t="array" ref="L46">IF(SUMPRODUCT(IFERROR(--(INT(Attendance[Start time])=Training_Attendance[[#This Row],[Date]]),0)*IFERROR(--(ISNUMBER(SEARCH(L$1,Attendance[Attendees]))),0)*IFERROR(--(Attendance[Session Type]="Training"),0))&gt;0,"Y","")</f>
        <v/>
      </c>
      <c r="M46" s="286" t="str" cm="1">
        <f t="array" ref="M46">IF(SUMPRODUCT(IFERROR(--(INT(Attendance[Start time])=Training_Attendance[[#This Row],[Date]]),0)*IFERROR(--(ISNUMBER(SEARCH(M$1,Attendance[Attendees]))),0)*IFERROR(--(Attendance[Session Type]="Training"),0))&gt;0,"Y","")</f>
        <v/>
      </c>
      <c r="N46" s="286" t="str" cm="1">
        <f t="array" ref="N46">IF(SUMPRODUCT(IFERROR(--(INT(Attendance[Start time])=Training_Attendance[[#This Row],[Date]]),0)*IFERROR(--(ISNUMBER(SEARCH(N$1,Attendance[Attendees]))),0)*IFERROR(--(Attendance[Session Type]="Training"),0))&gt;0,"Y","")</f>
        <v/>
      </c>
      <c r="O46" s="286" t="str" cm="1">
        <f t="array" ref="O46">IF(SUMPRODUCT(IFERROR(--(INT(Attendance[Start time])=Training_Attendance[[#This Row],[Date]]),0)*IFERROR(--(ISNUMBER(SEARCH(O$1,Attendance[Attendees]))),0)*IFERROR(--(Attendance[Session Type]="Training"),0))&gt;0,"Y","")</f>
        <v/>
      </c>
      <c r="P46" s="286" t="str" cm="1">
        <f t="array" ref="P46">IF(SUMPRODUCT(IFERROR(--(INT(Attendance[Start time])=Training_Attendance[[#This Row],[Date]]),0)*IFERROR(--(ISNUMBER(SEARCH(P$1,Attendance[Attendees]))),0)*IFERROR(--(Attendance[Session Type]="Training"),0))&gt;0,"Y","")</f>
        <v/>
      </c>
      <c r="Q46" s="286" t="str" cm="1">
        <f t="array" ref="Q46">IF(SUMPRODUCT(IFERROR(--(INT(Attendance[Start time])=Training_Attendance[[#This Row],[Date]]),0)*IFERROR(--(ISNUMBER(SEARCH(Q$1,Attendance[Attendees]))),0)*IFERROR(--(Attendance[Session Type]="Training"),0))&gt;0,"Y","")</f>
        <v/>
      </c>
      <c r="R46" s="286" t="str" cm="1">
        <f t="array" ref="R46">IF(SUMPRODUCT(IFERROR(--(INT(Attendance[Start time])=Training_Attendance[[#This Row],[Date]]),0)*IFERROR(--(ISNUMBER(SEARCH(R$1,Attendance[Attendees]))),0)*IFERROR(--(Attendance[Session Type]="Training"),0))&gt;0,"Y","")</f>
        <v/>
      </c>
      <c r="S46" s="286" t="str" cm="1">
        <f t="array" ref="S46">IF(SUMPRODUCT(IFERROR(--(INT(Attendance[Start time])=Training_Attendance[[#This Row],[Date]]),0)*IFERROR(--(ISNUMBER(SEARCH(S$1,Attendance[Attendees]))),0)*IFERROR(--(Attendance[Session Type]="Training"),0))&gt;0,"Y","")</f>
        <v/>
      </c>
      <c r="T46" s="286" t="str" cm="1">
        <f t="array" ref="T46">IF(SUMPRODUCT(IFERROR(--(INT(Attendance[Start time])=Training_Attendance[[#This Row],[Date]]),0)*IFERROR(--(ISNUMBER(SEARCH(T$1,Attendance[Attendees]))),0)*IFERROR(--(Attendance[Session Type]="Training"),0))&gt;0,"Y","")</f>
        <v/>
      </c>
      <c r="U46" s="286" t="str" cm="1">
        <f t="array" ref="U46">IF(SUMPRODUCT(IFERROR(--(INT(Attendance[Start time])=Training_Attendance[[#This Row],[Date]]),0)*IFERROR(--(ISNUMBER(SEARCH(U$1,Attendance[Attendees]))),0)*IFERROR(--(Attendance[Session Type]="Training"),0))&gt;0,"Y","")</f>
        <v/>
      </c>
      <c r="V46" s="286" t="str" cm="1">
        <f t="array" ref="V46">IF(SUMPRODUCT(IFERROR(--(INT(Attendance[Start time])=Training_Attendance[[#This Row],[Date]]),0)*IFERROR(--(ISNUMBER(SEARCH(V$1,Attendance[Attendees]))),0)*IFERROR(--(Attendance[Session Type]="Training"),0))&gt;0,"Y","")</f>
        <v/>
      </c>
      <c r="W46" s="286" t="str" cm="1">
        <f t="array" ref="W46">IF(SUMPRODUCT(IFERROR(--(INT(Attendance[Start time])=Training_Attendance[[#This Row],[Date]]),0)*IFERROR(--(ISNUMBER(SEARCH(W$1,Attendance[Attendees]))),0)*IFERROR(--(Attendance[Session Type]="Training"),0))&gt;0,"Y","")</f>
        <v/>
      </c>
      <c r="X46" s="286" t="str" cm="1">
        <f t="array" ref="X46">IF(SUMPRODUCT(IFERROR(--(INT(Attendance[Start time])=Training_Attendance[[#This Row],[Date]]),0)*IFERROR(--(ISNUMBER(SEARCH(X$1,Attendance[Attendees]))),0)*IFERROR(--(Attendance[Session Type]="Training"),0))&gt;0,"Y","")</f>
        <v/>
      </c>
      <c r="Y46" s="286" t="str" cm="1">
        <f t="array" ref="Y46">IF(SUMPRODUCT(IFERROR(--(INT(Attendance[Start time])=Training_Attendance[[#This Row],[Date]]),0)*IFERROR(--(ISNUMBER(SEARCH(Y$1,Attendance[Attendees]))),0)*IFERROR(--(Attendance[Session Type]="Training"),0))&gt;0,"Y","")</f>
        <v/>
      </c>
      <c r="Z46" s="286" t="str" cm="1">
        <f t="array" ref="Z46">IF(SUMPRODUCT(IFERROR(--(INT(Attendance[Start time])=Training_Attendance[[#This Row],[Date]]),0)*IFERROR(--(ISNUMBER(SEARCH(Z$1,Attendance[Attendees]))),0)*IFERROR(--(Attendance[Session Type]="Training"),0))&gt;0,"Y","")</f>
        <v/>
      </c>
      <c r="AA46" s="286" t="str" cm="1">
        <f t="array" ref="AA46">IF(SUMPRODUCT(IFERROR(--(INT(Attendance[Start time])=Training_Attendance[[#This Row],[Date]]),0)*IFERROR(--(ISNUMBER(SEARCH(AA$1,Attendance[Attendees]))),0)*IFERROR(--(Attendance[Session Type]="Training"),0))&gt;0,"Y","")</f>
        <v/>
      </c>
      <c r="AB46" s="286" t="str" cm="1">
        <f t="array" ref="AB46">IF(SUMPRODUCT(IFERROR(--(INT(Attendance[Start time])=Training_Attendance[[#This Row],[Date]]),0)*IFERROR(--(ISNUMBER(SEARCH(AB$1,Attendance[Attendees]))),0)*IFERROR(--(Attendance[Session Type]="Training"),0))&gt;0,"Y","")</f>
        <v/>
      </c>
      <c r="AC46" s="286" t="str" cm="1">
        <f t="array" ref="AC46">IF(SUMPRODUCT(IFERROR(--(INT(Attendance[Start time])=Training_Attendance[[#This Row],[Date]]),0)*IFERROR(--(ISNUMBER(SEARCH(AC$1,Attendance[Attendees]))),0)*IFERROR(--(Attendance[Session Type]="Training"),0))&gt;0,"Y","")</f>
        <v/>
      </c>
      <c r="AD46" s="265">
        <f>COUNTIF(Training_Attendance[[#This Row],[Alf M]:[Ronnie D]],"Y")</f>
        <v>0</v>
      </c>
      <c r="AE46" s="166"/>
    </row>
    <row r="47" spans="1:31" ht="16" customHeight="1" x14ac:dyDescent="0.35">
      <c r="A47" s="225">
        <v>46582</v>
      </c>
      <c r="B47" s="220">
        <f>Training_Attendance[[#This Row],[Date]]</f>
        <v>46582</v>
      </c>
      <c r="C47" s="166" t="s">
        <v>84</v>
      </c>
      <c r="D47" s="286" t="str" cm="1">
        <f t="array" ref="D47">IF(SUMPRODUCT(IFERROR(--(INT(Attendance[Start time])=Training_Attendance[[#This Row],[Date]]),0)*IFERROR(--(ISNUMBER(SEARCH(D$1,Attendance[Attendees]))),0)*IFERROR(--(Attendance[Session Type]="Training"),0))&gt;0,"Y","")</f>
        <v/>
      </c>
      <c r="E47" s="286" t="str" cm="1">
        <f t="array" ref="E47">IF(SUMPRODUCT(IFERROR(--(INT(Attendance[Start time])=Training_Attendance[[#This Row],[Date]]),0)*IFERROR(--(ISNUMBER(SEARCH(E$1,Attendance[Attendees]))),0)*IFERROR(--(Attendance[Session Type]="Training"),0))&gt;0,"Y","")</f>
        <v/>
      </c>
      <c r="F47" s="286" t="str" cm="1">
        <f t="array" ref="F47">IF(SUMPRODUCT(IFERROR(--(INT(Attendance[Start time])=Training_Attendance[[#This Row],[Date]]),0)*IFERROR(--(ISNUMBER(SEARCH(F$1,Attendance[Attendees]))),0)*IFERROR(--(Attendance[Session Type]="Training"),0))&gt;0,"Y","")</f>
        <v/>
      </c>
      <c r="G47" s="286" t="str" cm="1">
        <f t="array" ref="G47">IF(SUMPRODUCT(IFERROR(--(INT(Attendance[Start time])=Training_Attendance[[#This Row],[Date]]),0)*IFERROR(--(ISNUMBER(SEARCH(G$1,Attendance[Attendees]))),0)*IFERROR(--(Attendance[Session Type]="Training"),0))&gt;0,"Y","")</f>
        <v/>
      </c>
      <c r="H47" s="286" t="str" cm="1">
        <f t="array" ref="H47">IF(SUMPRODUCT(IFERROR(--(INT(Attendance[Start time])=Training_Attendance[[#This Row],[Date]]),0)*IFERROR(--(ISNUMBER(SEARCH(H$1,Attendance[Attendees]))),0)*IFERROR(--(Attendance[Session Type]="Training"),0))&gt;0,"Y","")</f>
        <v/>
      </c>
      <c r="I47" s="286" t="str" cm="1">
        <f t="array" ref="I47">IF(SUMPRODUCT(IFERROR(--(INT(Attendance[Start time])=Training_Attendance[[#This Row],[Date]]),0)*IFERROR(--(ISNUMBER(SEARCH(I$1,Attendance[Attendees]))),0)*IFERROR(--(Attendance[Session Type]="Training"),0))&gt;0,"Y","")</f>
        <v/>
      </c>
      <c r="J47" s="286" t="str" cm="1">
        <f t="array" ref="J47">IF(SUMPRODUCT(IFERROR(--(INT(Attendance[Start time])=Training_Attendance[[#This Row],[Date]]),0)*IFERROR(--(ISNUMBER(SEARCH(J$1,Attendance[Attendees]))),0)*IFERROR(--(Attendance[Session Type]="Training"),0))&gt;0,"Y","")</f>
        <v/>
      </c>
      <c r="K47" s="286" t="str" cm="1">
        <f t="array" ref="K47">IF(SUMPRODUCT(IFERROR(--(INT(Attendance[Start time])=Training_Attendance[[#This Row],[Date]]),0)*IFERROR(--(ISNUMBER(SEARCH(K$1,Attendance[Attendees]))),0)*IFERROR(--(Attendance[Session Type]="Training"),0))&gt;0,"Y","")</f>
        <v/>
      </c>
      <c r="L47" s="286" t="str" cm="1">
        <f t="array" ref="L47">IF(SUMPRODUCT(IFERROR(--(INT(Attendance[Start time])=Training_Attendance[[#This Row],[Date]]),0)*IFERROR(--(ISNUMBER(SEARCH(L$1,Attendance[Attendees]))),0)*IFERROR(--(Attendance[Session Type]="Training"),0))&gt;0,"Y","")</f>
        <v/>
      </c>
      <c r="M47" s="286" t="str" cm="1">
        <f t="array" ref="M47">IF(SUMPRODUCT(IFERROR(--(INT(Attendance[Start time])=Training_Attendance[[#This Row],[Date]]),0)*IFERROR(--(ISNUMBER(SEARCH(M$1,Attendance[Attendees]))),0)*IFERROR(--(Attendance[Session Type]="Training"),0))&gt;0,"Y","")</f>
        <v/>
      </c>
      <c r="N47" s="286" t="str" cm="1">
        <f t="array" ref="N47">IF(SUMPRODUCT(IFERROR(--(INT(Attendance[Start time])=Training_Attendance[[#This Row],[Date]]),0)*IFERROR(--(ISNUMBER(SEARCH(N$1,Attendance[Attendees]))),0)*IFERROR(--(Attendance[Session Type]="Training"),0))&gt;0,"Y","")</f>
        <v/>
      </c>
      <c r="O47" s="286" t="str" cm="1">
        <f t="array" ref="O47">IF(SUMPRODUCT(IFERROR(--(INT(Attendance[Start time])=Training_Attendance[[#This Row],[Date]]),0)*IFERROR(--(ISNUMBER(SEARCH(O$1,Attendance[Attendees]))),0)*IFERROR(--(Attendance[Session Type]="Training"),0))&gt;0,"Y","")</f>
        <v/>
      </c>
      <c r="P47" s="286" t="str" cm="1">
        <f t="array" ref="P47">IF(SUMPRODUCT(IFERROR(--(INT(Attendance[Start time])=Training_Attendance[[#This Row],[Date]]),0)*IFERROR(--(ISNUMBER(SEARCH(P$1,Attendance[Attendees]))),0)*IFERROR(--(Attendance[Session Type]="Training"),0))&gt;0,"Y","")</f>
        <v/>
      </c>
      <c r="Q47" s="286" t="str" cm="1">
        <f t="array" ref="Q47">IF(SUMPRODUCT(IFERROR(--(INT(Attendance[Start time])=Training_Attendance[[#This Row],[Date]]),0)*IFERROR(--(ISNUMBER(SEARCH(Q$1,Attendance[Attendees]))),0)*IFERROR(--(Attendance[Session Type]="Training"),0))&gt;0,"Y","")</f>
        <v/>
      </c>
      <c r="R47" s="286" t="str" cm="1">
        <f t="array" ref="R47">IF(SUMPRODUCT(IFERROR(--(INT(Attendance[Start time])=Training_Attendance[[#This Row],[Date]]),0)*IFERROR(--(ISNUMBER(SEARCH(R$1,Attendance[Attendees]))),0)*IFERROR(--(Attendance[Session Type]="Training"),0))&gt;0,"Y","")</f>
        <v/>
      </c>
      <c r="S47" s="286" t="str" cm="1">
        <f t="array" ref="S47">IF(SUMPRODUCT(IFERROR(--(INT(Attendance[Start time])=Training_Attendance[[#This Row],[Date]]),0)*IFERROR(--(ISNUMBER(SEARCH(S$1,Attendance[Attendees]))),0)*IFERROR(--(Attendance[Session Type]="Training"),0))&gt;0,"Y","")</f>
        <v/>
      </c>
      <c r="T47" s="286" t="str" cm="1">
        <f t="array" ref="T47">IF(SUMPRODUCT(IFERROR(--(INT(Attendance[Start time])=Training_Attendance[[#This Row],[Date]]),0)*IFERROR(--(ISNUMBER(SEARCH(T$1,Attendance[Attendees]))),0)*IFERROR(--(Attendance[Session Type]="Training"),0))&gt;0,"Y","")</f>
        <v/>
      </c>
      <c r="U47" s="286" t="str" cm="1">
        <f t="array" ref="U47">IF(SUMPRODUCT(IFERROR(--(INT(Attendance[Start time])=Training_Attendance[[#This Row],[Date]]),0)*IFERROR(--(ISNUMBER(SEARCH(U$1,Attendance[Attendees]))),0)*IFERROR(--(Attendance[Session Type]="Training"),0))&gt;0,"Y","")</f>
        <v/>
      </c>
      <c r="V47" s="286" t="str" cm="1">
        <f t="array" ref="V47">IF(SUMPRODUCT(IFERROR(--(INT(Attendance[Start time])=Training_Attendance[[#This Row],[Date]]),0)*IFERROR(--(ISNUMBER(SEARCH(V$1,Attendance[Attendees]))),0)*IFERROR(--(Attendance[Session Type]="Training"),0))&gt;0,"Y","")</f>
        <v/>
      </c>
      <c r="W47" s="286" t="str" cm="1">
        <f t="array" ref="W47">IF(SUMPRODUCT(IFERROR(--(INT(Attendance[Start time])=Training_Attendance[[#This Row],[Date]]),0)*IFERROR(--(ISNUMBER(SEARCH(W$1,Attendance[Attendees]))),0)*IFERROR(--(Attendance[Session Type]="Training"),0))&gt;0,"Y","")</f>
        <v/>
      </c>
      <c r="X47" s="286" t="str" cm="1">
        <f t="array" ref="X47">IF(SUMPRODUCT(IFERROR(--(INT(Attendance[Start time])=Training_Attendance[[#This Row],[Date]]),0)*IFERROR(--(ISNUMBER(SEARCH(X$1,Attendance[Attendees]))),0)*IFERROR(--(Attendance[Session Type]="Training"),0))&gt;0,"Y","")</f>
        <v/>
      </c>
      <c r="Y47" s="286" t="str" cm="1">
        <f t="array" ref="Y47">IF(SUMPRODUCT(IFERROR(--(INT(Attendance[Start time])=Training_Attendance[[#This Row],[Date]]),0)*IFERROR(--(ISNUMBER(SEARCH(Y$1,Attendance[Attendees]))),0)*IFERROR(--(Attendance[Session Type]="Training"),0))&gt;0,"Y","")</f>
        <v/>
      </c>
      <c r="Z47" s="286" t="str" cm="1">
        <f t="array" ref="Z47">IF(SUMPRODUCT(IFERROR(--(INT(Attendance[Start time])=Training_Attendance[[#This Row],[Date]]),0)*IFERROR(--(ISNUMBER(SEARCH(Z$1,Attendance[Attendees]))),0)*IFERROR(--(Attendance[Session Type]="Training"),0))&gt;0,"Y","")</f>
        <v/>
      </c>
      <c r="AA47" s="286" t="str" cm="1">
        <f t="array" ref="AA47">IF(SUMPRODUCT(IFERROR(--(INT(Attendance[Start time])=Training_Attendance[[#This Row],[Date]]),0)*IFERROR(--(ISNUMBER(SEARCH(AA$1,Attendance[Attendees]))),0)*IFERROR(--(Attendance[Session Type]="Training"),0))&gt;0,"Y","")</f>
        <v/>
      </c>
      <c r="AB47" s="286" t="str" cm="1">
        <f t="array" ref="AB47">IF(SUMPRODUCT(IFERROR(--(INT(Attendance[Start time])=Training_Attendance[[#This Row],[Date]]),0)*IFERROR(--(ISNUMBER(SEARCH(AB$1,Attendance[Attendees]))),0)*IFERROR(--(Attendance[Session Type]="Training"),0))&gt;0,"Y","")</f>
        <v/>
      </c>
      <c r="AC47" s="286" t="str" cm="1">
        <f t="array" ref="AC47">IF(SUMPRODUCT(IFERROR(--(INT(Attendance[Start time])=Training_Attendance[[#This Row],[Date]]),0)*IFERROR(--(ISNUMBER(SEARCH(AC$1,Attendance[Attendees]))),0)*IFERROR(--(Attendance[Session Type]="Training"),0))&gt;0,"Y","")</f>
        <v/>
      </c>
      <c r="AD47" s="265">
        <f>COUNTIF(Training_Attendance[[#This Row],[Alf M]:[Ronnie D]],"Y")</f>
        <v>0</v>
      </c>
      <c r="AE47" s="166"/>
    </row>
    <row r="48" spans="1:31" ht="16" customHeight="1" x14ac:dyDescent="0.35">
      <c r="A48" s="225">
        <v>46589</v>
      </c>
      <c r="B48" s="220">
        <f>Training_Attendance[[#This Row],[Date]]</f>
        <v>46589</v>
      </c>
      <c r="C48" s="166" t="s">
        <v>84</v>
      </c>
      <c r="D48" s="286" t="str" cm="1">
        <f t="array" ref="D48">IF(SUMPRODUCT(IFERROR(--(INT(Attendance[Start time])=Training_Attendance[[#This Row],[Date]]),0)*IFERROR(--(ISNUMBER(SEARCH(D$1,Attendance[Attendees]))),0)*IFERROR(--(Attendance[Session Type]="Training"),0))&gt;0,"Y","")</f>
        <v/>
      </c>
      <c r="E48" s="286" t="str" cm="1">
        <f t="array" ref="E48">IF(SUMPRODUCT(IFERROR(--(INT(Attendance[Start time])=Training_Attendance[[#This Row],[Date]]),0)*IFERROR(--(ISNUMBER(SEARCH(E$1,Attendance[Attendees]))),0)*IFERROR(--(Attendance[Session Type]="Training"),0))&gt;0,"Y","")</f>
        <v/>
      </c>
      <c r="F48" s="286" t="str" cm="1">
        <f t="array" ref="F48">IF(SUMPRODUCT(IFERROR(--(INT(Attendance[Start time])=Training_Attendance[[#This Row],[Date]]),0)*IFERROR(--(ISNUMBER(SEARCH(F$1,Attendance[Attendees]))),0)*IFERROR(--(Attendance[Session Type]="Training"),0))&gt;0,"Y","")</f>
        <v/>
      </c>
      <c r="G48" s="286" t="str" cm="1">
        <f t="array" ref="G48">IF(SUMPRODUCT(IFERROR(--(INT(Attendance[Start time])=Training_Attendance[[#This Row],[Date]]),0)*IFERROR(--(ISNUMBER(SEARCH(G$1,Attendance[Attendees]))),0)*IFERROR(--(Attendance[Session Type]="Training"),0))&gt;0,"Y","")</f>
        <v/>
      </c>
      <c r="H48" s="286" t="str" cm="1">
        <f t="array" ref="H48">IF(SUMPRODUCT(IFERROR(--(INT(Attendance[Start time])=Training_Attendance[[#This Row],[Date]]),0)*IFERROR(--(ISNUMBER(SEARCH(H$1,Attendance[Attendees]))),0)*IFERROR(--(Attendance[Session Type]="Training"),0))&gt;0,"Y","")</f>
        <v/>
      </c>
      <c r="I48" s="286" t="str" cm="1">
        <f t="array" ref="I48">IF(SUMPRODUCT(IFERROR(--(INT(Attendance[Start time])=Training_Attendance[[#This Row],[Date]]),0)*IFERROR(--(ISNUMBER(SEARCH(I$1,Attendance[Attendees]))),0)*IFERROR(--(Attendance[Session Type]="Training"),0))&gt;0,"Y","")</f>
        <v/>
      </c>
      <c r="J48" s="286" t="str" cm="1">
        <f t="array" ref="J48">IF(SUMPRODUCT(IFERROR(--(INT(Attendance[Start time])=Training_Attendance[[#This Row],[Date]]),0)*IFERROR(--(ISNUMBER(SEARCH(J$1,Attendance[Attendees]))),0)*IFERROR(--(Attendance[Session Type]="Training"),0))&gt;0,"Y","")</f>
        <v/>
      </c>
      <c r="K48" s="286" t="str" cm="1">
        <f t="array" ref="K48">IF(SUMPRODUCT(IFERROR(--(INT(Attendance[Start time])=Training_Attendance[[#This Row],[Date]]),0)*IFERROR(--(ISNUMBER(SEARCH(K$1,Attendance[Attendees]))),0)*IFERROR(--(Attendance[Session Type]="Training"),0))&gt;0,"Y","")</f>
        <v/>
      </c>
      <c r="L48" s="286" t="str" cm="1">
        <f t="array" ref="L48">IF(SUMPRODUCT(IFERROR(--(INT(Attendance[Start time])=Training_Attendance[[#This Row],[Date]]),0)*IFERROR(--(ISNUMBER(SEARCH(L$1,Attendance[Attendees]))),0)*IFERROR(--(Attendance[Session Type]="Training"),0))&gt;0,"Y","")</f>
        <v/>
      </c>
      <c r="M48" s="286" t="str" cm="1">
        <f t="array" ref="M48">IF(SUMPRODUCT(IFERROR(--(INT(Attendance[Start time])=Training_Attendance[[#This Row],[Date]]),0)*IFERROR(--(ISNUMBER(SEARCH(M$1,Attendance[Attendees]))),0)*IFERROR(--(Attendance[Session Type]="Training"),0))&gt;0,"Y","")</f>
        <v/>
      </c>
      <c r="N48" s="286" t="str" cm="1">
        <f t="array" ref="N48">IF(SUMPRODUCT(IFERROR(--(INT(Attendance[Start time])=Training_Attendance[[#This Row],[Date]]),0)*IFERROR(--(ISNUMBER(SEARCH(N$1,Attendance[Attendees]))),0)*IFERROR(--(Attendance[Session Type]="Training"),0))&gt;0,"Y","")</f>
        <v/>
      </c>
      <c r="O48" s="286" t="str" cm="1">
        <f t="array" ref="O48">IF(SUMPRODUCT(IFERROR(--(INT(Attendance[Start time])=Training_Attendance[[#This Row],[Date]]),0)*IFERROR(--(ISNUMBER(SEARCH(O$1,Attendance[Attendees]))),0)*IFERROR(--(Attendance[Session Type]="Training"),0))&gt;0,"Y","")</f>
        <v/>
      </c>
      <c r="P48" s="286" t="str" cm="1">
        <f t="array" ref="P48">IF(SUMPRODUCT(IFERROR(--(INT(Attendance[Start time])=Training_Attendance[[#This Row],[Date]]),0)*IFERROR(--(ISNUMBER(SEARCH(P$1,Attendance[Attendees]))),0)*IFERROR(--(Attendance[Session Type]="Training"),0))&gt;0,"Y","")</f>
        <v/>
      </c>
      <c r="Q48" s="286" t="str" cm="1">
        <f t="array" ref="Q48">IF(SUMPRODUCT(IFERROR(--(INT(Attendance[Start time])=Training_Attendance[[#This Row],[Date]]),0)*IFERROR(--(ISNUMBER(SEARCH(Q$1,Attendance[Attendees]))),0)*IFERROR(--(Attendance[Session Type]="Training"),0))&gt;0,"Y","")</f>
        <v/>
      </c>
      <c r="R48" s="286" t="str" cm="1">
        <f t="array" ref="R48">IF(SUMPRODUCT(IFERROR(--(INT(Attendance[Start time])=Training_Attendance[[#This Row],[Date]]),0)*IFERROR(--(ISNUMBER(SEARCH(R$1,Attendance[Attendees]))),0)*IFERROR(--(Attendance[Session Type]="Training"),0))&gt;0,"Y","")</f>
        <v/>
      </c>
      <c r="S48" s="286" t="str" cm="1">
        <f t="array" ref="S48">IF(SUMPRODUCT(IFERROR(--(INT(Attendance[Start time])=Training_Attendance[[#This Row],[Date]]),0)*IFERROR(--(ISNUMBER(SEARCH(S$1,Attendance[Attendees]))),0)*IFERROR(--(Attendance[Session Type]="Training"),0))&gt;0,"Y","")</f>
        <v/>
      </c>
      <c r="T48" s="286" t="str" cm="1">
        <f t="array" ref="T48">IF(SUMPRODUCT(IFERROR(--(INT(Attendance[Start time])=Training_Attendance[[#This Row],[Date]]),0)*IFERROR(--(ISNUMBER(SEARCH(T$1,Attendance[Attendees]))),0)*IFERROR(--(Attendance[Session Type]="Training"),0))&gt;0,"Y","")</f>
        <v/>
      </c>
      <c r="U48" s="286" t="str" cm="1">
        <f t="array" ref="U48">IF(SUMPRODUCT(IFERROR(--(INT(Attendance[Start time])=Training_Attendance[[#This Row],[Date]]),0)*IFERROR(--(ISNUMBER(SEARCH(U$1,Attendance[Attendees]))),0)*IFERROR(--(Attendance[Session Type]="Training"),0))&gt;0,"Y","")</f>
        <v/>
      </c>
      <c r="V48" s="286" t="str" cm="1">
        <f t="array" ref="V48">IF(SUMPRODUCT(IFERROR(--(INT(Attendance[Start time])=Training_Attendance[[#This Row],[Date]]),0)*IFERROR(--(ISNUMBER(SEARCH(V$1,Attendance[Attendees]))),0)*IFERROR(--(Attendance[Session Type]="Training"),0))&gt;0,"Y","")</f>
        <v/>
      </c>
      <c r="W48" s="286" t="str" cm="1">
        <f t="array" ref="W48">IF(SUMPRODUCT(IFERROR(--(INT(Attendance[Start time])=Training_Attendance[[#This Row],[Date]]),0)*IFERROR(--(ISNUMBER(SEARCH(W$1,Attendance[Attendees]))),0)*IFERROR(--(Attendance[Session Type]="Training"),0))&gt;0,"Y","")</f>
        <v/>
      </c>
      <c r="X48" s="286" t="str" cm="1">
        <f t="array" ref="X48">IF(SUMPRODUCT(IFERROR(--(INT(Attendance[Start time])=Training_Attendance[[#This Row],[Date]]),0)*IFERROR(--(ISNUMBER(SEARCH(X$1,Attendance[Attendees]))),0)*IFERROR(--(Attendance[Session Type]="Training"),0))&gt;0,"Y","")</f>
        <v/>
      </c>
      <c r="Y48" s="286" t="str" cm="1">
        <f t="array" ref="Y48">IF(SUMPRODUCT(IFERROR(--(INT(Attendance[Start time])=Training_Attendance[[#This Row],[Date]]),0)*IFERROR(--(ISNUMBER(SEARCH(Y$1,Attendance[Attendees]))),0)*IFERROR(--(Attendance[Session Type]="Training"),0))&gt;0,"Y","")</f>
        <v/>
      </c>
      <c r="Z48" s="286" t="str" cm="1">
        <f t="array" ref="Z48">IF(SUMPRODUCT(IFERROR(--(INT(Attendance[Start time])=Training_Attendance[[#This Row],[Date]]),0)*IFERROR(--(ISNUMBER(SEARCH(Z$1,Attendance[Attendees]))),0)*IFERROR(--(Attendance[Session Type]="Training"),0))&gt;0,"Y","")</f>
        <v/>
      </c>
      <c r="AA48" s="286" t="str" cm="1">
        <f t="array" ref="AA48">IF(SUMPRODUCT(IFERROR(--(INT(Attendance[Start time])=Training_Attendance[[#This Row],[Date]]),0)*IFERROR(--(ISNUMBER(SEARCH(AA$1,Attendance[Attendees]))),0)*IFERROR(--(Attendance[Session Type]="Training"),0))&gt;0,"Y","")</f>
        <v/>
      </c>
      <c r="AB48" s="286" t="str" cm="1">
        <f t="array" ref="AB48">IF(SUMPRODUCT(IFERROR(--(INT(Attendance[Start time])=Training_Attendance[[#This Row],[Date]]),0)*IFERROR(--(ISNUMBER(SEARCH(AB$1,Attendance[Attendees]))),0)*IFERROR(--(Attendance[Session Type]="Training"),0))&gt;0,"Y","")</f>
        <v/>
      </c>
      <c r="AC48" s="286" t="str" cm="1">
        <f t="array" ref="AC48">IF(SUMPRODUCT(IFERROR(--(INT(Attendance[Start time])=Training_Attendance[[#This Row],[Date]]),0)*IFERROR(--(ISNUMBER(SEARCH(AC$1,Attendance[Attendees]))),0)*IFERROR(--(Attendance[Session Type]="Training"),0))&gt;0,"Y","")</f>
        <v/>
      </c>
      <c r="AD48" s="265">
        <f>COUNTIF(Training_Attendance[[#This Row],[Alf M]:[Ronnie D]],"Y")</f>
        <v>0</v>
      </c>
      <c r="AE48" s="166"/>
    </row>
    <row r="49" spans="1:31" ht="16" customHeight="1" x14ac:dyDescent="0.35">
      <c r="A49" s="225">
        <v>46596</v>
      </c>
      <c r="B49" s="220">
        <f>Training_Attendance[[#This Row],[Date]]</f>
        <v>46596</v>
      </c>
      <c r="C49" s="166" t="s">
        <v>84</v>
      </c>
      <c r="D49" s="286" t="str" cm="1">
        <f t="array" ref="D49">IF(SUMPRODUCT(IFERROR(--(INT(Attendance[Start time])=Training_Attendance[[#This Row],[Date]]),0)*IFERROR(--(ISNUMBER(SEARCH(D$1,Attendance[Attendees]))),0)*IFERROR(--(Attendance[Session Type]="Training"),0))&gt;0,"Y","")</f>
        <v/>
      </c>
      <c r="E49" s="286" t="str" cm="1">
        <f t="array" ref="E49">IF(SUMPRODUCT(IFERROR(--(INT(Attendance[Start time])=Training_Attendance[[#This Row],[Date]]),0)*IFERROR(--(ISNUMBER(SEARCH(E$1,Attendance[Attendees]))),0)*IFERROR(--(Attendance[Session Type]="Training"),0))&gt;0,"Y","")</f>
        <v/>
      </c>
      <c r="F49" s="286" t="str" cm="1">
        <f t="array" ref="F49">IF(SUMPRODUCT(IFERROR(--(INT(Attendance[Start time])=Training_Attendance[[#This Row],[Date]]),0)*IFERROR(--(ISNUMBER(SEARCH(F$1,Attendance[Attendees]))),0)*IFERROR(--(Attendance[Session Type]="Training"),0))&gt;0,"Y","")</f>
        <v/>
      </c>
      <c r="G49" s="286" t="str" cm="1">
        <f t="array" ref="G49">IF(SUMPRODUCT(IFERROR(--(INT(Attendance[Start time])=Training_Attendance[[#This Row],[Date]]),0)*IFERROR(--(ISNUMBER(SEARCH(G$1,Attendance[Attendees]))),0)*IFERROR(--(Attendance[Session Type]="Training"),0))&gt;0,"Y","")</f>
        <v/>
      </c>
      <c r="H49" s="286" t="str" cm="1">
        <f t="array" ref="H49">IF(SUMPRODUCT(IFERROR(--(INT(Attendance[Start time])=Training_Attendance[[#This Row],[Date]]),0)*IFERROR(--(ISNUMBER(SEARCH(H$1,Attendance[Attendees]))),0)*IFERROR(--(Attendance[Session Type]="Training"),0))&gt;0,"Y","")</f>
        <v/>
      </c>
      <c r="I49" s="286" t="str" cm="1">
        <f t="array" ref="I49">IF(SUMPRODUCT(IFERROR(--(INT(Attendance[Start time])=Training_Attendance[[#This Row],[Date]]),0)*IFERROR(--(ISNUMBER(SEARCH(I$1,Attendance[Attendees]))),0)*IFERROR(--(Attendance[Session Type]="Training"),0))&gt;0,"Y","")</f>
        <v/>
      </c>
      <c r="J49" s="286" t="str" cm="1">
        <f t="array" ref="J49">IF(SUMPRODUCT(IFERROR(--(INT(Attendance[Start time])=Training_Attendance[[#This Row],[Date]]),0)*IFERROR(--(ISNUMBER(SEARCH(J$1,Attendance[Attendees]))),0)*IFERROR(--(Attendance[Session Type]="Training"),0))&gt;0,"Y","")</f>
        <v/>
      </c>
      <c r="K49" s="286" t="str" cm="1">
        <f t="array" ref="K49">IF(SUMPRODUCT(IFERROR(--(INT(Attendance[Start time])=Training_Attendance[[#This Row],[Date]]),0)*IFERROR(--(ISNUMBER(SEARCH(K$1,Attendance[Attendees]))),0)*IFERROR(--(Attendance[Session Type]="Training"),0))&gt;0,"Y","")</f>
        <v/>
      </c>
      <c r="L49" s="286" t="str" cm="1">
        <f t="array" ref="L49">IF(SUMPRODUCT(IFERROR(--(INT(Attendance[Start time])=Training_Attendance[[#This Row],[Date]]),0)*IFERROR(--(ISNUMBER(SEARCH(L$1,Attendance[Attendees]))),0)*IFERROR(--(Attendance[Session Type]="Training"),0))&gt;0,"Y","")</f>
        <v/>
      </c>
      <c r="M49" s="286" t="str" cm="1">
        <f t="array" ref="M49">IF(SUMPRODUCT(IFERROR(--(INT(Attendance[Start time])=Training_Attendance[[#This Row],[Date]]),0)*IFERROR(--(ISNUMBER(SEARCH(M$1,Attendance[Attendees]))),0)*IFERROR(--(Attendance[Session Type]="Training"),0))&gt;0,"Y","")</f>
        <v/>
      </c>
      <c r="N49" s="286" t="str" cm="1">
        <f t="array" ref="N49">IF(SUMPRODUCT(IFERROR(--(INT(Attendance[Start time])=Training_Attendance[[#This Row],[Date]]),0)*IFERROR(--(ISNUMBER(SEARCH(N$1,Attendance[Attendees]))),0)*IFERROR(--(Attendance[Session Type]="Training"),0))&gt;0,"Y","")</f>
        <v/>
      </c>
      <c r="O49" s="286" t="str" cm="1">
        <f t="array" ref="O49">IF(SUMPRODUCT(IFERROR(--(INT(Attendance[Start time])=Training_Attendance[[#This Row],[Date]]),0)*IFERROR(--(ISNUMBER(SEARCH(O$1,Attendance[Attendees]))),0)*IFERROR(--(Attendance[Session Type]="Training"),0))&gt;0,"Y","")</f>
        <v/>
      </c>
      <c r="P49" s="286" t="str" cm="1">
        <f t="array" ref="P49">IF(SUMPRODUCT(IFERROR(--(INT(Attendance[Start time])=Training_Attendance[[#This Row],[Date]]),0)*IFERROR(--(ISNUMBER(SEARCH(P$1,Attendance[Attendees]))),0)*IFERROR(--(Attendance[Session Type]="Training"),0))&gt;0,"Y","")</f>
        <v/>
      </c>
      <c r="Q49" s="286" t="str" cm="1">
        <f t="array" ref="Q49">IF(SUMPRODUCT(IFERROR(--(INT(Attendance[Start time])=Training_Attendance[[#This Row],[Date]]),0)*IFERROR(--(ISNUMBER(SEARCH(Q$1,Attendance[Attendees]))),0)*IFERROR(--(Attendance[Session Type]="Training"),0))&gt;0,"Y","")</f>
        <v/>
      </c>
      <c r="R49" s="286" t="str" cm="1">
        <f t="array" ref="R49">IF(SUMPRODUCT(IFERROR(--(INT(Attendance[Start time])=Training_Attendance[[#This Row],[Date]]),0)*IFERROR(--(ISNUMBER(SEARCH(R$1,Attendance[Attendees]))),0)*IFERROR(--(Attendance[Session Type]="Training"),0))&gt;0,"Y","")</f>
        <v/>
      </c>
      <c r="S49" s="286" t="str" cm="1">
        <f t="array" ref="S49">IF(SUMPRODUCT(IFERROR(--(INT(Attendance[Start time])=Training_Attendance[[#This Row],[Date]]),0)*IFERROR(--(ISNUMBER(SEARCH(S$1,Attendance[Attendees]))),0)*IFERROR(--(Attendance[Session Type]="Training"),0))&gt;0,"Y","")</f>
        <v/>
      </c>
      <c r="T49" s="286" t="str" cm="1">
        <f t="array" ref="T49">IF(SUMPRODUCT(IFERROR(--(INT(Attendance[Start time])=Training_Attendance[[#This Row],[Date]]),0)*IFERROR(--(ISNUMBER(SEARCH(T$1,Attendance[Attendees]))),0)*IFERROR(--(Attendance[Session Type]="Training"),0))&gt;0,"Y","")</f>
        <v/>
      </c>
      <c r="U49" s="286" t="str" cm="1">
        <f t="array" ref="U49">IF(SUMPRODUCT(IFERROR(--(INT(Attendance[Start time])=Training_Attendance[[#This Row],[Date]]),0)*IFERROR(--(ISNUMBER(SEARCH(U$1,Attendance[Attendees]))),0)*IFERROR(--(Attendance[Session Type]="Training"),0))&gt;0,"Y","")</f>
        <v/>
      </c>
      <c r="V49" s="286" t="str" cm="1">
        <f t="array" ref="V49">IF(SUMPRODUCT(IFERROR(--(INT(Attendance[Start time])=Training_Attendance[[#This Row],[Date]]),0)*IFERROR(--(ISNUMBER(SEARCH(V$1,Attendance[Attendees]))),0)*IFERROR(--(Attendance[Session Type]="Training"),0))&gt;0,"Y","")</f>
        <v/>
      </c>
      <c r="W49" s="286" t="str" cm="1">
        <f t="array" ref="W49">IF(SUMPRODUCT(IFERROR(--(INT(Attendance[Start time])=Training_Attendance[[#This Row],[Date]]),0)*IFERROR(--(ISNUMBER(SEARCH(W$1,Attendance[Attendees]))),0)*IFERROR(--(Attendance[Session Type]="Training"),0))&gt;0,"Y","")</f>
        <v/>
      </c>
      <c r="X49" s="286" t="str" cm="1">
        <f t="array" ref="X49">IF(SUMPRODUCT(IFERROR(--(INT(Attendance[Start time])=Training_Attendance[[#This Row],[Date]]),0)*IFERROR(--(ISNUMBER(SEARCH(X$1,Attendance[Attendees]))),0)*IFERROR(--(Attendance[Session Type]="Training"),0))&gt;0,"Y","")</f>
        <v/>
      </c>
      <c r="Y49" s="286" t="str" cm="1">
        <f t="array" ref="Y49">IF(SUMPRODUCT(IFERROR(--(INT(Attendance[Start time])=Training_Attendance[[#This Row],[Date]]),0)*IFERROR(--(ISNUMBER(SEARCH(Y$1,Attendance[Attendees]))),0)*IFERROR(--(Attendance[Session Type]="Training"),0))&gt;0,"Y","")</f>
        <v/>
      </c>
      <c r="Z49" s="286" t="str" cm="1">
        <f t="array" ref="Z49">IF(SUMPRODUCT(IFERROR(--(INT(Attendance[Start time])=Training_Attendance[[#This Row],[Date]]),0)*IFERROR(--(ISNUMBER(SEARCH(Z$1,Attendance[Attendees]))),0)*IFERROR(--(Attendance[Session Type]="Training"),0))&gt;0,"Y","")</f>
        <v/>
      </c>
      <c r="AA49" s="286" t="str" cm="1">
        <f t="array" ref="AA49">IF(SUMPRODUCT(IFERROR(--(INT(Attendance[Start time])=Training_Attendance[[#This Row],[Date]]),0)*IFERROR(--(ISNUMBER(SEARCH(AA$1,Attendance[Attendees]))),0)*IFERROR(--(Attendance[Session Type]="Training"),0))&gt;0,"Y","")</f>
        <v/>
      </c>
      <c r="AB49" s="286" t="str" cm="1">
        <f t="array" ref="AB49">IF(SUMPRODUCT(IFERROR(--(INT(Attendance[Start time])=Training_Attendance[[#This Row],[Date]]),0)*IFERROR(--(ISNUMBER(SEARCH(AB$1,Attendance[Attendees]))),0)*IFERROR(--(Attendance[Session Type]="Training"),0))&gt;0,"Y","")</f>
        <v/>
      </c>
      <c r="AC49" s="286" t="str" cm="1">
        <f t="array" ref="AC49">IF(SUMPRODUCT(IFERROR(--(INT(Attendance[Start time])=Training_Attendance[[#This Row],[Date]]),0)*IFERROR(--(ISNUMBER(SEARCH(AC$1,Attendance[Attendees]))),0)*IFERROR(--(Attendance[Session Type]="Training"),0))&gt;0,"Y","")</f>
        <v/>
      </c>
      <c r="AD49" s="265">
        <f>COUNTIF(Training_Attendance[[#This Row],[Alf M]:[Ronnie D]],"Y")</f>
        <v>0</v>
      </c>
      <c r="AE49" s="166"/>
    </row>
    <row r="50" spans="1:31" ht="16" customHeight="1" x14ac:dyDescent="0.35">
      <c r="A50" s="225">
        <v>46603</v>
      </c>
      <c r="B50" s="220">
        <f>Training_Attendance[[#This Row],[Date]]</f>
        <v>46603</v>
      </c>
      <c r="C50" s="166" t="s">
        <v>84</v>
      </c>
      <c r="D50" s="286" t="str" cm="1">
        <f t="array" ref="D50">IF(SUMPRODUCT(IFERROR(--(INT(Attendance[Start time])=Training_Attendance[[#This Row],[Date]]),0)*IFERROR(--(ISNUMBER(SEARCH(D$1,Attendance[Attendees]))),0)*IFERROR(--(Attendance[Session Type]="Training"),0))&gt;0,"Y","")</f>
        <v/>
      </c>
      <c r="E50" s="286" t="str" cm="1">
        <f t="array" ref="E50">IF(SUMPRODUCT(IFERROR(--(INT(Attendance[Start time])=Training_Attendance[[#This Row],[Date]]),0)*IFERROR(--(ISNUMBER(SEARCH(E$1,Attendance[Attendees]))),0)*IFERROR(--(Attendance[Session Type]="Training"),0))&gt;0,"Y","")</f>
        <v/>
      </c>
      <c r="F50" s="286" t="str" cm="1">
        <f t="array" ref="F50">IF(SUMPRODUCT(IFERROR(--(INT(Attendance[Start time])=Training_Attendance[[#This Row],[Date]]),0)*IFERROR(--(ISNUMBER(SEARCH(F$1,Attendance[Attendees]))),0)*IFERROR(--(Attendance[Session Type]="Training"),0))&gt;0,"Y","")</f>
        <v/>
      </c>
      <c r="G50" s="286" t="str" cm="1">
        <f t="array" ref="G50">IF(SUMPRODUCT(IFERROR(--(INT(Attendance[Start time])=Training_Attendance[[#This Row],[Date]]),0)*IFERROR(--(ISNUMBER(SEARCH(G$1,Attendance[Attendees]))),0)*IFERROR(--(Attendance[Session Type]="Training"),0))&gt;0,"Y","")</f>
        <v/>
      </c>
      <c r="H50" s="286" t="str" cm="1">
        <f t="array" ref="H50">IF(SUMPRODUCT(IFERROR(--(INT(Attendance[Start time])=Training_Attendance[[#This Row],[Date]]),0)*IFERROR(--(ISNUMBER(SEARCH(H$1,Attendance[Attendees]))),0)*IFERROR(--(Attendance[Session Type]="Training"),0))&gt;0,"Y","")</f>
        <v/>
      </c>
      <c r="I50" s="286" t="str" cm="1">
        <f t="array" ref="I50">IF(SUMPRODUCT(IFERROR(--(INT(Attendance[Start time])=Training_Attendance[[#This Row],[Date]]),0)*IFERROR(--(ISNUMBER(SEARCH(I$1,Attendance[Attendees]))),0)*IFERROR(--(Attendance[Session Type]="Training"),0))&gt;0,"Y","")</f>
        <v/>
      </c>
      <c r="J50" s="286" t="str" cm="1">
        <f t="array" ref="J50">IF(SUMPRODUCT(IFERROR(--(INT(Attendance[Start time])=Training_Attendance[[#This Row],[Date]]),0)*IFERROR(--(ISNUMBER(SEARCH(J$1,Attendance[Attendees]))),0)*IFERROR(--(Attendance[Session Type]="Training"),0))&gt;0,"Y","")</f>
        <v/>
      </c>
      <c r="K50" s="286" t="str" cm="1">
        <f t="array" ref="K50">IF(SUMPRODUCT(IFERROR(--(INT(Attendance[Start time])=Training_Attendance[[#This Row],[Date]]),0)*IFERROR(--(ISNUMBER(SEARCH(K$1,Attendance[Attendees]))),0)*IFERROR(--(Attendance[Session Type]="Training"),0))&gt;0,"Y","")</f>
        <v/>
      </c>
      <c r="L50" s="286" t="str" cm="1">
        <f t="array" ref="L50">IF(SUMPRODUCT(IFERROR(--(INT(Attendance[Start time])=Training_Attendance[[#This Row],[Date]]),0)*IFERROR(--(ISNUMBER(SEARCH(L$1,Attendance[Attendees]))),0)*IFERROR(--(Attendance[Session Type]="Training"),0))&gt;0,"Y","")</f>
        <v/>
      </c>
      <c r="M50" s="286" t="str" cm="1">
        <f t="array" ref="M50">IF(SUMPRODUCT(IFERROR(--(INT(Attendance[Start time])=Training_Attendance[[#This Row],[Date]]),0)*IFERROR(--(ISNUMBER(SEARCH(M$1,Attendance[Attendees]))),0)*IFERROR(--(Attendance[Session Type]="Training"),0))&gt;0,"Y","")</f>
        <v/>
      </c>
      <c r="N50" s="286" t="str" cm="1">
        <f t="array" ref="N50">IF(SUMPRODUCT(IFERROR(--(INT(Attendance[Start time])=Training_Attendance[[#This Row],[Date]]),0)*IFERROR(--(ISNUMBER(SEARCH(N$1,Attendance[Attendees]))),0)*IFERROR(--(Attendance[Session Type]="Training"),0))&gt;0,"Y","")</f>
        <v/>
      </c>
      <c r="O50" s="286" t="str" cm="1">
        <f t="array" ref="O50">IF(SUMPRODUCT(IFERROR(--(INT(Attendance[Start time])=Training_Attendance[[#This Row],[Date]]),0)*IFERROR(--(ISNUMBER(SEARCH(O$1,Attendance[Attendees]))),0)*IFERROR(--(Attendance[Session Type]="Training"),0))&gt;0,"Y","")</f>
        <v/>
      </c>
      <c r="P50" s="286" t="str" cm="1">
        <f t="array" ref="P50">IF(SUMPRODUCT(IFERROR(--(INT(Attendance[Start time])=Training_Attendance[[#This Row],[Date]]),0)*IFERROR(--(ISNUMBER(SEARCH(P$1,Attendance[Attendees]))),0)*IFERROR(--(Attendance[Session Type]="Training"),0))&gt;0,"Y","")</f>
        <v/>
      </c>
      <c r="Q50" s="286" t="str" cm="1">
        <f t="array" ref="Q50">IF(SUMPRODUCT(IFERROR(--(INT(Attendance[Start time])=Training_Attendance[[#This Row],[Date]]),0)*IFERROR(--(ISNUMBER(SEARCH(Q$1,Attendance[Attendees]))),0)*IFERROR(--(Attendance[Session Type]="Training"),0))&gt;0,"Y","")</f>
        <v/>
      </c>
      <c r="R50" s="286" t="str" cm="1">
        <f t="array" ref="R50">IF(SUMPRODUCT(IFERROR(--(INT(Attendance[Start time])=Training_Attendance[[#This Row],[Date]]),0)*IFERROR(--(ISNUMBER(SEARCH(R$1,Attendance[Attendees]))),0)*IFERROR(--(Attendance[Session Type]="Training"),0))&gt;0,"Y","")</f>
        <v/>
      </c>
      <c r="S50" s="286" t="str" cm="1">
        <f t="array" ref="S50">IF(SUMPRODUCT(IFERROR(--(INT(Attendance[Start time])=Training_Attendance[[#This Row],[Date]]),0)*IFERROR(--(ISNUMBER(SEARCH(S$1,Attendance[Attendees]))),0)*IFERROR(--(Attendance[Session Type]="Training"),0))&gt;0,"Y","")</f>
        <v/>
      </c>
      <c r="T50" s="286" t="str" cm="1">
        <f t="array" ref="T50">IF(SUMPRODUCT(IFERROR(--(INT(Attendance[Start time])=Training_Attendance[[#This Row],[Date]]),0)*IFERROR(--(ISNUMBER(SEARCH(T$1,Attendance[Attendees]))),0)*IFERROR(--(Attendance[Session Type]="Training"),0))&gt;0,"Y","")</f>
        <v/>
      </c>
      <c r="U50" s="286" t="str" cm="1">
        <f t="array" ref="U50">IF(SUMPRODUCT(IFERROR(--(INT(Attendance[Start time])=Training_Attendance[[#This Row],[Date]]),0)*IFERROR(--(ISNUMBER(SEARCH(U$1,Attendance[Attendees]))),0)*IFERROR(--(Attendance[Session Type]="Training"),0))&gt;0,"Y","")</f>
        <v/>
      </c>
      <c r="V50" s="286" t="str" cm="1">
        <f t="array" ref="V50">IF(SUMPRODUCT(IFERROR(--(INT(Attendance[Start time])=Training_Attendance[[#This Row],[Date]]),0)*IFERROR(--(ISNUMBER(SEARCH(V$1,Attendance[Attendees]))),0)*IFERROR(--(Attendance[Session Type]="Training"),0))&gt;0,"Y","")</f>
        <v/>
      </c>
      <c r="W50" s="286" t="str" cm="1">
        <f t="array" ref="W50">IF(SUMPRODUCT(IFERROR(--(INT(Attendance[Start time])=Training_Attendance[[#This Row],[Date]]),0)*IFERROR(--(ISNUMBER(SEARCH(W$1,Attendance[Attendees]))),0)*IFERROR(--(Attendance[Session Type]="Training"),0))&gt;0,"Y","")</f>
        <v/>
      </c>
      <c r="X50" s="286" t="str" cm="1">
        <f t="array" ref="X50">IF(SUMPRODUCT(IFERROR(--(INT(Attendance[Start time])=Training_Attendance[[#This Row],[Date]]),0)*IFERROR(--(ISNUMBER(SEARCH(X$1,Attendance[Attendees]))),0)*IFERROR(--(Attendance[Session Type]="Training"),0))&gt;0,"Y","")</f>
        <v/>
      </c>
      <c r="Y50" s="286" t="str" cm="1">
        <f t="array" ref="Y50">IF(SUMPRODUCT(IFERROR(--(INT(Attendance[Start time])=Training_Attendance[[#This Row],[Date]]),0)*IFERROR(--(ISNUMBER(SEARCH(Y$1,Attendance[Attendees]))),0)*IFERROR(--(Attendance[Session Type]="Training"),0))&gt;0,"Y","")</f>
        <v/>
      </c>
      <c r="Z50" s="286" t="str" cm="1">
        <f t="array" ref="Z50">IF(SUMPRODUCT(IFERROR(--(INT(Attendance[Start time])=Training_Attendance[[#This Row],[Date]]),0)*IFERROR(--(ISNUMBER(SEARCH(Z$1,Attendance[Attendees]))),0)*IFERROR(--(Attendance[Session Type]="Training"),0))&gt;0,"Y","")</f>
        <v/>
      </c>
      <c r="AA50" s="286" t="str" cm="1">
        <f t="array" ref="AA50">IF(SUMPRODUCT(IFERROR(--(INT(Attendance[Start time])=Training_Attendance[[#This Row],[Date]]),0)*IFERROR(--(ISNUMBER(SEARCH(AA$1,Attendance[Attendees]))),0)*IFERROR(--(Attendance[Session Type]="Training"),0))&gt;0,"Y","")</f>
        <v/>
      </c>
      <c r="AB50" s="286" t="str" cm="1">
        <f t="array" ref="AB50">IF(SUMPRODUCT(IFERROR(--(INT(Attendance[Start time])=Training_Attendance[[#This Row],[Date]]),0)*IFERROR(--(ISNUMBER(SEARCH(AB$1,Attendance[Attendees]))),0)*IFERROR(--(Attendance[Session Type]="Training"),0))&gt;0,"Y","")</f>
        <v/>
      </c>
      <c r="AC50" s="286" t="str" cm="1">
        <f t="array" ref="AC50">IF(SUMPRODUCT(IFERROR(--(INT(Attendance[Start time])=Training_Attendance[[#This Row],[Date]]),0)*IFERROR(--(ISNUMBER(SEARCH(AC$1,Attendance[Attendees]))),0)*IFERROR(--(Attendance[Session Type]="Training"),0))&gt;0,"Y","")</f>
        <v/>
      </c>
      <c r="AD50" s="265">
        <f>COUNTIF(Training_Attendance[[#This Row],[Alf M]:[Ronnie D]],"Y")</f>
        <v>0</v>
      </c>
      <c r="AE50" s="166"/>
    </row>
    <row r="51" spans="1:31" ht="16" customHeight="1" x14ac:dyDescent="0.35">
      <c r="A51" s="225">
        <v>46610</v>
      </c>
      <c r="B51" s="220">
        <f>Training_Attendance[[#This Row],[Date]]</f>
        <v>46610</v>
      </c>
      <c r="C51" s="166" t="s">
        <v>84</v>
      </c>
      <c r="D51" s="286" t="str" cm="1">
        <f t="array" ref="D51">IF(SUMPRODUCT(IFERROR(--(INT(Attendance[Start time])=Training_Attendance[[#This Row],[Date]]),0)*IFERROR(--(ISNUMBER(SEARCH(D$1,Attendance[Attendees]))),0)*IFERROR(--(Attendance[Session Type]="Training"),0))&gt;0,"Y","")</f>
        <v/>
      </c>
      <c r="E51" s="286" t="str" cm="1">
        <f t="array" ref="E51">IF(SUMPRODUCT(IFERROR(--(INT(Attendance[Start time])=Training_Attendance[[#This Row],[Date]]),0)*IFERROR(--(ISNUMBER(SEARCH(E$1,Attendance[Attendees]))),0)*IFERROR(--(Attendance[Session Type]="Training"),0))&gt;0,"Y","")</f>
        <v/>
      </c>
      <c r="F51" s="286" t="str" cm="1">
        <f t="array" ref="F51">IF(SUMPRODUCT(IFERROR(--(INT(Attendance[Start time])=Training_Attendance[[#This Row],[Date]]),0)*IFERROR(--(ISNUMBER(SEARCH(F$1,Attendance[Attendees]))),0)*IFERROR(--(Attendance[Session Type]="Training"),0))&gt;0,"Y","")</f>
        <v/>
      </c>
      <c r="G51" s="286" t="str" cm="1">
        <f t="array" ref="G51">IF(SUMPRODUCT(IFERROR(--(INT(Attendance[Start time])=Training_Attendance[[#This Row],[Date]]),0)*IFERROR(--(ISNUMBER(SEARCH(G$1,Attendance[Attendees]))),0)*IFERROR(--(Attendance[Session Type]="Training"),0))&gt;0,"Y","")</f>
        <v/>
      </c>
      <c r="H51" s="286" t="str" cm="1">
        <f t="array" ref="H51">IF(SUMPRODUCT(IFERROR(--(INT(Attendance[Start time])=Training_Attendance[[#This Row],[Date]]),0)*IFERROR(--(ISNUMBER(SEARCH(H$1,Attendance[Attendees]))),0)*IFERROR(--(Attendance[Session Type]="Training"),0))&gt;0,"Y","")</f>
        <v/>
      </c>
      <c r="I51" s="286" t="str" cm="1">
        <f t="array" ref="I51">IF(SUMPRODUCT(IFERROR(--(INT(Attendance[Start time])=Training_Attendance[[#This Row],[Date]]),0)*IFERROR(--(ISNUMBER(SEARCH(I$1,Attendance[Attendees]))),0)*IFERROR(--(Attendance[Session Type]="Training"),0))&gt;0,"Y","")</f>
        <v/>
      </c>
      <c r="J51" s="286" t="str" cm="1">
        <f t="array" ref="J51">IF(SUMPRODUCT(IFERROR(--(INT(Attendance[Start time])=Training_Attendance[[#This Row],[Date]]),0)*IFERROR(--(ISNUMBER(SEARCH(J$1,Attendance[Attendees]))),0)*IFERROR(--(Attendance[Session Type]="Training"),0))&gt;0,"Y","")</f>
        <v/>
      </c>
      <c r="K51" s="286" t="str" cm="1">
        <f t="array" ref="K51">IF(SUMPRODUCT(IFERROR(--(INT(Attendance[Start time])=Training_Attendance[[#This Row],[Date]]),0)*IFERROR(--(ISNUMBER(SEARCH(K$1,Attendance[Attendees]))),0)*IFERROR(--(Attendance[Session Type]="Training"),0))&gt;0,"Y","")</f>
        <v/>
      </c>
      <c r="L51" s="286" t="str" cm="1">
        <f t="array" ref="L51">IF(SUMPRODUCT(IFERROR(--(INT(Attendance[Start time])=Training_Attendance[[#This Row],[Date]]),0)*IFERROR(--(ISNUMBER(SEARCH(L$1,Attendance[Attendees]))),0)*IFERROR(--(Attendance[Session Type]="Training"),0))&gt;0,"Y","")</f>
        <v/>
      </c>
      <c r="M51" s="286" t="str" cm="1">
        <f t="array" ref="M51">IF(SUMPRODUCT(IFERROR(--(INT(Attendance[Start time])=Training_Attendance[[#This Row],[Date]]),0)*IFERROR(--(ISNUMBER(SEARCH(M$1,Attendance[Attendees]))),0)*IFERROR(--(Attendance[Session Type]="Training"),0))&gt;0,"Y","")</f>
        <v/>
      </c>
      <c r="N51" s="286" t="str" cm="1">
        <f t="array" ref="N51">IF(SUMPRODUCT(IFERROR(--(INT(Attendance[Start time])=Training_Attendance[[#This Row],[Date]]),0)*IFERROR(--(ISNUMBER(SEARCH(N$1,Attendance[Attendees]))),0)*IFERROR(--(Attendance[Session Type]="Training"),0))&gt;0,"Y","")</f>
        <v/>
      </c>
      <c r="O51" s="286" t="str" cm="1">
        <f t="array" ref="O51">IF(SUMPRODUCT(IFERROR(--(INT(Attendance[Start time])=Training_Attendance[[#This Row],[Date]]),0)*IFERROR(--(ISNUMBER(SEARCH(O$1,Attendance[Attendees]))),0)*IFERROR(--(Attendance[Session Type]="Training"),0))&gt;0,"Y","")</f>
        <v/>
      </c>
      <c r="P51" s="286" t="str" cm="1">
        <f t="array" ref="P51">IF(SUMPRODUCT(IFERROR(--(INT(Attendance[Start time])=Training_Attendance[[#This Row],[Date]]),0)*IFERROR(--(ISNUMBER(SEARCH(P$1,Attendance[Attendees]))),0)*IFERROR(--(Attendance[Session Type]="Training"),0))&gt;0,"Y","")</f>
        <v/>
      </c>
      <c r="Q51" s="286" t="str" cm="1">
        <f t="array" ref="Q51">IF(SUMPRODUCT(IFERROR(--(INT(Attendance[Start time])=Training_Attendance[[#This Row],[Date]]),0)*IFERROR(--(ISNUMBER(SEARCH(Q$1,Attendance[Attendees]))),0)*IFERROR(--(Attendance[Session Type]="Training"),0))&gt;0,"Y","")</f>
        <v/>
      </c>
      <c r="R51" s="286" t="str" cm="1">
        <f t="array" ref="R51">IF(SUMPRODUCT(IFERROR(--(INT(Attendance[Start time])=Training_Attendance[[#This Row],[Date]]),0)*IFERROR(--(ISNUMBER(SEARCH(R$1,Attendance[Attendees]))),0)*IFERROR(--(Attendance[Session Type]="Training"),0))&gt;0,"Y","")</f>
        <v/>
      </c>
      <c r="S51" s="286" t="str" cm="1">
        <f t="array" ref="S51">IF(SUMPRODUCT(IFERROR(--(INT(Attendance[Start time])=Training_Attendance[[#This Row],[Date]]),0)*IFERROR(--(ISNUMBER(SEARCH(S$1,Attendance[Attendees]))),0)*IFERROR(--(Attendance[Session Type]="Training"),0))&gt;0,"Y","")</f>
        <v/>
      </c>
      <c r="T51" s="286" t="str" cm="1">
        <f t="array" ref="T51">IF(SUMPRODUCT(IFERROR(--(INT(Attendance[Start time])=Training_Attendance[[#This Row],[Date]]),0)*IFERROR(--(ISNUMBER(SEARCH(T$1,Attendance[Attendees]))),0)*IFERROR(--(Attendance[Session Type]="Training"),0))&gt;0,"Y","")</f>
        <v/>
      </c>
      <c r="U51" s="286" t="str" cm="1">
        <f t="array" ref="U51">IF(SUMPRODUCT(IFERROR(--(INT(Attendance[Start time])=Training_Attendance[[#This Row],[Date]]),0)*IFERROR(--(ISNUMBER(SEARCH(U$1,Attendance[Attendees]))),0)*IFERROR(--(Attendance[Session Type]="Training"),0))&gt;0,"Y","")</f>
        <v/>
      </c>
      <c r="V51" s="286" t="str" cm="1">
        <f t="array" ref="V51">IF(SUMPRODUCT(IFERROR(--(INT(Attendance[Start time])=Training_Attendance[[#This Row],[Date]]),0)*IFERROR(--(ISNUMBER(SEARCH(V$1,Attendance[Attendees]))),0)*IFERROR(--(Attendance[Session Type]="Training"),0))&gt;0,"Y","")</f>
        <v/>
      </c>
      <c r="W51" s="286" t="str" cm="1">
        <f t="array" ref="W51">IF(SUMPRODUCT(IFERROR(--(INT(Attendance[Start time])=Training_Attendance[[#This Row],[Date]]),0)*IFERROR(--(ISNUMBER(SEARCH(W$1,Attendance[Attendees]))),0)*IFERROR(--(Attendance[Session Type]="Training"),0))&gt;0,"Y","")</f>
        <v/>
      </c>
      <c r="X51" s="286" t="str" cm="1">
        <f t="array" ref="X51">IF(SUMPRODUCT(IFERROR(--(INT(Attendance[Start time])=Training_Attendance[[#This Row],[Date]]),0)*IFERROR(--(ISNUMBER(SEARCH(X$1,Attendance[Attendees]))),0)*IFERROR(--(Attendance[Session Type]="Training"),0))&gt;0,"Y","")</f>
        <v/>
      </c>
      <c r="Y51" s="286" t="str" cm="1">
        <f t="array" ref="Y51">IF(SUMPRODUCT(IFERROR(--(INT(Attendance[Start time])=Training_Attendance[[#This Row],[Date]]),0)*IFERROR(--(ISNUMBER(SEARCH(Y$1,Attendance[Attendees]))),0)*IFERROR(--(Attendance[Session Type]="Training"),0))&gt;0,"Y","")</f>
        <v/>
      </c>
      <c r="Z51" s="286" t="str" cm="1">
        <f t="array" ref="Z51">IF(SUMPRODUCT(IFERROR(--(INT(Attendance[Start time])=Training_Attendance[[#This Row],[Date]]),0)*IFERROR(--(ISNUMBER(SEARCH(Z$1,Attendance[Attendees]))),0)*IFERROR(--(Attendance[Session Type]="Training"),0))&gt;0,"Y","")</f>
        <v/>
      </c>
      <c r="AA51" s="286" t="str" cm="1">
        <f t="array" ref="AA51">IF(SUMPRODUCT(IFERROR(--(INT(Attendance[Start time])=Training_Attendance[[#This Row],[Date]]),0)*IFERROR(--(ISNUMBER(SEARCH(AA$1,Attendance[Attendees]))),0)*IFERROR(--(Attendance[Session Type]="Training"),0))&gt;0,"Y","")</f>
        <v/>
      </c>
      <c r="AB51" s="286" t="str" cm="1">
        <f t="array" ref="AB51">IF(SUMPRODUCT(IFERROR(--(INT(Attendance[Start time])=Training_Attendance[[#This Row],[Date]]),0)*IFERROR(--(ISNUMBER(SEARCH(AB$1,Attendance[Attendees]))),0)*IFERROR(--(Attendance[Session Type]="Training"),0))&gt;0,"Y","")</f>
        <v/>
      </c>
      <c r="AC51" s="286" t="str" cm="1">
        <f t="array" ref="AC51">IF(SUMPRODUCT(IFERROR(--(INT(Attendance[Start time])=Training_Attendance[[#This Row],[Date]]),0)*IFERROR(--(ISNUMBER(SEARCH(AC$1,Attendance[Attendees]))),0)*IFERROR(--(Attendance[Session Type]="Training"),0))&gt;0,"Y","")</f>
        <v/>
      </c>
      <c r="AD51" s="265">
        <f>COUNTIF(Training_Attendance[[#This Row],[Alf M]:[Ronnie D]],"Y")</f>
        <v>0</v>
      </c>
      <c r="AE51" s="166"/>
    </row>
    <row r="52" spans="1:31" ht="16" customHeight="1" x14ac:dyDescent="0.35">
      <c r="A52" s="225">
        <v>46617</v>
      </c>
      <c r="B52" s="220">
        <f>Training_Attendance[[#This Row],[Date]]</f>
        <v>46617</v>
      </c>
      <c r="C52" s="166" t="s">
        <v>84</v>
      </c>
      <c r="D52" s="286" t="str" cm="1">
        <f t="array" ref="D52">IF(SUMPRODUCT(IFERROR(--(INT(Attendance[Start time])=Training_Attendance[[#This Row],[Date]]),0)*IFERROR(--(ISNUMBER(SEARCH(D$1,Attendance[Attendees]))),0)*IFERROR(--(Attendance[Session Type]="Training"),0))&gt;0,"Y","")</f>
        <v/>
      </c>
      <c r="E52" s="286" t="str" cm="1">
        <f t="array" ref="E52">IF(SUMPRODUCT(IFERROR(--(INT(Attendance[Start time])=Training_Attendance[[#This Row],[Date]]),0)*IFERROR(--(ISNUMBER(SEARCH(E$1,Attendance[Attendees]))),0)*IFERROR(--(Attendance[Session Type]="Training"),0))&gt;0,"Y","")</f>
        <v/>
      </c>
      <c r="F52" s="286" t="str" cm="1">
        <f t="array" ref="F52">IF(SUMPRODUCT(IFERROR(--(INT(Attendance[Start time])=Training_Attendance[[#This Row],[Date]]),0)*IFERROR(--(ISNUMBER(SEARCH(F$1,Attendance[Attendees]))),0)*IFERROR(--(Attendance[Session Type]="Training"),0))&gt;0,"Y","")</f>
        <v/>
      </c>
      <c r="G52" s="286" t="str" cm="1">
        <f t="array" ref="G52">IF(SUMPRODUCT(IFERROR(--(INT(Attendance[Start time])=Training_Attendance[[#This Row],[Date]]),0)*IFERROR(--(ISNUMBER(SEARCH(G$1,Attendance[Attendees]))),0)*IFERROR(--(Attendance[Session Type]="Training"),0))&gt;0,"Y","")</f>
        <v/>
      </c>
      <c r="H52" s="286" t="str" cm="1">
        <f t="array" ref="H52">IF(SUMPRODUCT(IFERROR(--(INT(Attendance[Start time])=Training_Attendance[[#This Row],[Date]]),0)*IFERROR(--(ISNUMBER(SEARCH(H$1,Attendance[Attendees]))),0)*IFERROR(--(Attendance[Session Type]="Training"),0))&gt;0,"Y","")</f>
        <v/>
      </c>
      <c r="I52" s="286" t="str" cm="1">
        <f t="array" ref="I52">IF(SUMPRODUCT(IFERROR(--(INT(Attendance[Start time])=Training_Attendance[[#This Row],[Date]]),0)*IFERROR(--(ISNUMBER(SEARCH(I$1,Attendance[Attendees]))),0)*IFERROR(--(Attendance[Session Type]="Training"),0))&gt;0,"Y","")</f>
        <v/>
      </c>
      <c r="J52" s="286" t="str" cm="1">
        <f t="array" ref="J52">IF(SUMPRODUCT(IFERROR(--(INT(Attendance[Start time])=Training_Attendance[[#This Row],[Date]]),0)*IFERROR(--(ISNUMBER(SEARCH(J$1,Attendance[Attendees]))),0)*IFERROR(--(Attendance[Session Type]="Training"),0))&gt;0,"Y","")</f>
        <v/>
      </c>
      <c r="K52" s="286" t="str" cm="1">
        <f t="array" ref="K52">IF(SUMPRODUCT(IFERROR(--(INT(Attendance[Start time])=Training_Attendance[[#This Row],[Date]]),0)*IFERROR(--(ISNUMBER(SEARCH(K$1,Attendance[Attendees]))),0)*IFERROR(--(Attendance[Session Type]="Training"),0))&gt;0,"Y","")</f>
        <v/>
      </c>
      <c r="L52" s="286" t="str" cm="1">
        <f t="array" ref="L52">IF(SUMPRODUCT(IFERROR(--(INT(Attendance[Start time])=Training_Attendance[[#This Row],[Date]]),0)*IFERROR(--(ISNUMBER(SEARCH(L$1,Attendance[Attendees]))),0)*IFERROR(--(Attendance[Session Type]="Training"),0))&gt;0,"Y","")</f>
        <v/>
      </c>
      <c r="M52" s="286" t="str" cm="1">
        <f t="array" ref="M52">IF(SUMPRODUCT(IFERROR(--(INT(Attendance[Start time])=Training_Attendance[[#This Row],[Date]]),0)*IFERROR(--(ISNUMBER(SEARCH(M$1,Attendance[Attendees]))),0)*IFERROR(--(Attendance[Session Type]="Training"),0))&gt;0,"Y","")</f>
        <v/>
      </c>
      <c r="N52" s="286" t="str" cm="1">
        <f t="array" ref="N52">IF(SUMPRODUCT(IFERROR(--(INT(Attendance[Start time])=Training_Attendance[[#This Row],[Date]]),0)*IFERROR(--(ISNUMBER(SEARCH(N$1,Attendance[Attendees]))),0)*IFERROR(--(Attendance[Session Type]="Training"),0))&gt;0,"Y","")</f>
        <v/>
      </c>
      <c r="O52" s="286" t="str" cm="1">
        <f t="array" ref="O52">IF(SUMPRODUCT(IFERROR(--(INT(Attendance[Start time])=Training_Attendance[[#This Row],[Date]]),0)*IFERROR(--(ISNUMBER(SEARCH(O$1,Attendance[Attendees]))),0)*IFERROR(--(Attendance[Session Type]="Training"),0))&gt;0,"Y","")</f>
        <v/>
      </c>
      <c r="P52" s="286" t="str" cm="1">
        <f t="array" ref="P52">IF(SUMPRODUCT(IFERROR(--(INT(Attendance[Start time])=Training_Attendance[[#This Row],[Date]]),0)*IFERROR(--(ISNUMBER(SEARCH(P$1,Attendance[Attendees]))),0)*IFERROR(--(Attendance[Session Type]="Training"),0))&gt;0,"Y","")</f>
        <v/>
      </c>
      <c r="Q52" s="286" t="str" cm="1">
        <f t="array" ref="Q52">IF(SUMPRODUCT(IFERROR(--(INT(Attendance[Start time])=Training_Attendance[[#This Row],[Date]]),0)*IFERROR(--(ISNUMBER(SEARCH(Q$1,Attendance[Attendees]))),0)*IFERROR(--(Attendance[Session Type]="Training"),0))&gt;0,"Y","")</f>
        <v/>
      </c>
      <c r="R52" s="286" t="str" cm="1">
        <f t="array" ref="R52">IF(SUMPRODUCT(IFERROR(--(INT(Attendance[Start time])=Training_Attendance[[#This Row],[Date]]),0)*IFERROR(--(ISNUMBER(SEARCH(R$1,Attendance[Attendees]))),0)*IFERROR(--(Attendance[Session Type]="Training"),0))&gt;0,"Y","")</f>
        <v/>
      </c>
      <c r="S52" s="286" t="str" cm="1">
        <f t="array" ref="S52">IF(SUMPRODUCT(IFERROR(--(INT(Attendance[Start time])=Training_Attendance[[#This Row],[Date]]),0)*IFERROR(--(ISNUMBER(SEARCH(S$1,Attendance[Attendees]))),0)*IFERROR(--(Attendance[Session Type]="Training"),0))&gt;0,"Y","")</f>
        <v/>
      </c>
      <c r="T52" s="286" t="str" cm="1">
        <f t="array" ref="T52">IF(SUMPRODUCT(IFERROR(--(INT(Attendance[Start time])=Training_Attendance[[#This Row],[Date]]),0)*IFERROR(--(ISNUMBER(SEARCH(T$1,Attendance[Attendees]))),0)*IFERROR(--(Attendance[Session Type]="Training"),0))&gt;0,"Y","")</f>
        <v/>
      </c>
      <c r="U52" s="286" t="str" cm="1">
        <f t="array" ref="U52">IF(SUMPRODUCT(IFERROR(--(INT(Attendance[Start time])=Training_Attendance[[#This Row],[Date]]),0)*IFERROR(--(ISNUMBER(SEARCH(U$1,Attendance[Attendees]))),0)*IFERROR(--(Attendance[Session Type]="Training"),0))&gt;0,"Y","")</f>
        <v/>
      </c>
      <c r="V52" s="286" t="str" cm="1">
        <f t="array" ref="V52">IF(SUMPRODUCT(IFERROR(--(INT(Attendance[Start time])=Training_Attendance[[#This Row],[Date]]),0)*IFERROR(--(ISNUMBER(SEARCH(V$1,Attendance[Attendees]))),0)*IFERROR(--(Attendance[Session Type]="Training"),0))&gt;0,"Y","")</f>
        <v/>
      </c>
      <c r="W52" s="286" t="str" cm="1">
        <f t="array" ref="W52">IF(SUMPRODUCT(IFERROR(--(INT(Attendance[Start time])=Training_Attendance[[#This Row],[Date]]),0)*IFERROR(--(ISNUMBER(SEARCH(W$1,Attendance[Attendees]))),0)*IFERROR(--(Attendance[Session Type]="Training"),0))&gt;0,"Y","")</f>
        <v/>
      </c>
      <c r="X52" s="286" t="str" cm="1">
        <f t="array" ref="X52">IF(SUMPRODUCT(IFERROR(--(INT(Attendance[Start time])=Training_Attendance[[#This Row],[Date]]),0)*IFERROR(--(ISNUMBER(SEARCH(X$1,Attendance[Attendees]))),0)*IFERROR(--(Attendance[Session Type]="Training"),0))&gt;0,"Y","")</f>
        <v/>
      </c>
      <c r="Y52" s="286" t="str" cm="1">
        <f t="array" ref="Y52">IF(SUMPRODUCT(IFERROR(--(INT(Attendance[Start time])=Training_Attendance[[#This Row],[Date]]),0)*IFERROR(--(ISNUMBER(SEARCH(Y$1,Attendance[Attendees]))),0)*IFERROR(--(Attendance[Session Type]="Training"),0))&gt;0,"Y","")</f>
        <v/>
      </c>
      <c r="Z52" s="286" t="str" cm="1">
        <f t="array" ref="Z52">IF(SUMPRODUCT(IFERROR(--(INT(Attendance[Start time])=Training_Attendance[[#This Row],[Date]]),0)*IFERROR(--(ISNUMBER(SEARCH(Z$1,Attendance[Attendees]))),0)*IFERROR(--(Attendance[Session Type]="Training"),0))&gt;0,"Y","")</f>
        <v/>
      </c>
      <c r="AA52" s="286" t="str" cm="1">
        <f t="array" ref="AA52">IF(SUMPRODUCT(IFERROR(--(INT(Attendance[Start time])=Training_Attendance[[#This Row],[Date]]),0)*IFERROR(--(ISNUMBER(SEARCH(AA$1,Attendance[Attendees]))),0)*IFERROR(--(Attendance[Session Type]="Training"),0))&gt;0,"Y","")</f>
        <v/>
      </c>
      <c r="AB52" s="286" t="str" cm="1">
        <f t="array" ref="AB52">IF(SUMPRODUCT(IFERROR(--(INT(Attendance[Start time])=Training_Attendance[[#This Row],[Date]]),0)*IFERROR(--(ISNUMBER(SEARCH(AB$1,Attendance[Attendees]))),0)*IFERROR(--(Attendance[Session Type]="Training"),0))&gt;0,"Y","")</f>
        <v/>
      </c>
      <c r="AC52" s="286" t="str" cm="1">
        <f t="array" ref="AC52">IF(SUMPRODUCT(IFERROR(--(INT(Attendance[Start time])=Training_Attendance[[#This Row],[Date]]),0)*IFERROR(--(ISNUMBER(SEARCH(AC$1,Attendance[Attendees]))),0)*IFERROR(--(Attendance[Session Type]="Training"),0))&gt;0,"Y","")</f>
        <v/>
      </c>
      <c r="AD52" s="265">
        <f>COUNTIF(Training_Attendance[[#This Row],[Alf M]:[Ronnie D]],"Y")</f>
        <v>0</v>
      </c>
      <c r="AE52" s="166"/>
    </row>
    <row r="53" spans="1:31" ht="16" customHeight="1" thickBot="1" x14ac:dyDescent="0.4">
      <c r="A53" s="225">
        <v>46624</v>
      </c>
      <c r="B53" s="220">
        <f>Training_Attendance[[#This Row],[Date]]</f>
        <v>46624</v>
      </c>
      <c r="C53" s="166" t="s">
        <v>84</v>
      </c>
      <c r="D53" s="303" t="str" cm="1">
        <f t="array" ref="D53">IF(SUMPRODUCT(IFERROR(--(INT(Attendance[Start time])=Training_Attendance[[#This Row],[Date]]),0)*IFERROR(--(ISNUMBER(SEARCH(D$1,Attendance[Attendees]))),0)*IFERROR(--(Attendance[Session Type]="Training"),0))&gt;0,"Y","")</f>
        <v/>
      </c>
      <c r="E53" s="303" t="str" cm="1">
        <f t="array" ref="E53">IF(SUMPRODUCT(IFERROR(--(INT(Attendance[Start time])=Training_Attendance[[#This Row],[Date]]),0)*IFERROR(--(ISNUMBER(SEARCH(E$1,Attendance[Attendees]))),0)*IFERROR(--(Attendance[Session Type]="Training"),0))&gt;0,"Y","")</f>
        <v/>
      </c>
      <c r="F53" s="303" t="str" cm="1">
        <f t="array" ref="F53">IF(SUMPRODUCT(IFERROR(--(INT(Attendance[Start time])=Training_Attendance[[#This Row],[Date]]),0)*IFERROR(--(ISNUMBER(SEARCH(F$1,Attendance[Attendees]))),0)*IFERROR(--(Attendance[Session Type]="Training"),0))&gt;0,"Y","")</f>
        <v/>
      </c>
      <c r="G53" s="303" t="str" cm="1">
        <f t="array" ref="G53">IF(SUMPRODUCT(IFERROR(--(INT(Attendance[Start time])=Training_Attendance[[#This Row],[Date]]),0)*IFERROR(--(ISNUMBER(SEARCH(G$1,Attendance[Attendees]))),0)*IFERROR(--(Attendance[Session Type]="Training"),0))&gt;0,"Y","")</f>
        <v/>
      </c>
      <c r="H53" s="303" t="str" cm="1">
        <f t="array" ref="H53">IF(SUMPRODUCT(IFERROR(--(INT(Attendance[Start time])=Training_Attendance[[#This Row],[Date]]),0)*IFERROR(--(ISNUMBER(SEARCH(H$1,Attendance[Attendees]))),0)*IFERROR(--(Attendance[Session Type]="Training"),0))&gt;0,"Y","")</f>
        <v/>
      </c>
      <c r="I53" s="303" t="str" cm="1">
        <f t="array" ref="I53">IF(SUMPRODUCT(IFERROR(--(INT(Attendance[Start time])=Training_Attendance[[#This Row],[Date]]),0)*IFERROR(--(ISNUMBER(SEARCH(I$1,Attendance[Attendees]))),0)*IFERROR(--(Attendance[Session Type]="Training"),0))&gt;0,"Y","")</f>
        <v/>
      </c>
      <c r="J53" s="303" t="str" cm="1">
        <f t="array" ref="J53">IF(SUMPRODUCT(IFERROR(--(INT(Attendance[Start time])=Training_Attendance[[#This Row],[Date]]),0)*IFERROR(--(ISNUMBER(SEARCH(J$1,Attendance[Attendees]))),0)*IFERROR(--(Attendance[Session Type]="Training"),0))&gt;0,"Y","")</f>
        <v/>
      </c>
      <c r="K53" s="303" t="str" cm="1">
        <f t="array" ref="K53">IF(SUMPRODUCT(IFERROR(--(INT(Attendance[Start time])=Training_Attendance[[#This Row],[Date]]),0)*IFERROR(--(ISNUMBER(SEARCH(K$1,Attendance[Attendees]))),0)*IFERROR(--(Attendance[Session Type]="Training"),0))&gt;0,"Y","")</f>
        <v/>
      </c>
      <c r="L53" s="303" t="str" cm="1">
        <f t="array" ref="L53">IF(SUMPRODUCT(IFERROR(--(INT(Attendance[Start time])=Training_Attendance[[#This Row],[Date]]),0)*IFERROR(--(ISNUMBER(SEARCH(L$1,Attendance[Attendees]))),0)*IFERROR(--(Attendance[Session Type]="Training"),0))&gt;0,"Y","")</f>
        <v/>
      </c>
      <c r="M53" s="303" t="str" cm="1">
        <f t="array" ref="M53">IF(SUMPRODUCT(IFERROR(--(INT(Attendance[Start time])=Training_Attendance[[#This Row],[Date]]),0)*IFERROR(--(ISNUMBER(SEARCH(M$1,Attendance[Attendees]))),0)*IFERROR(--(Attendance[Session Type]="Training"),0))&gt;0,"Y","")</f>
        <v/>
      </c>
      <c r="N53" s="303" t="str" cm="1">
        <f t="array" ref="N53">IF(SUMPRODUCT(IFERROR(--(INT(Attendance[Start time])=Training_Attendance[[#This Row],[Date]]),0)*IFERROR(--(ISNUMBER(SEARCH(N$1,Attendance[Attendees]))),0)*IFERROR(--(Attendance[Session Type]="Training"),0))&gt;0,"Y","")</f>
        <v/>
      </c>
      <c r="O53" s="303" t="str" cm="1">
        <f t="array" ref="O53">IF(SUMPRODUCT(IFERROR(--(INT(Attendance[Start time])=Training_Attendance[[#This Row],[Date]]),0)*IFERROR(--(ISNUMBER(SEARCH(O$1,Attendance[Attendees]))),0)*IFERROR(--(Attendance[Session Type]="Training"),0))&gt;0,"Y","")</f>
        <v/>
      </c>
      <c r="P53" s="303" t="str" cm="1">
        <f t="array" ref="P53">IF(SUMPRODUCT(IFERROR(--(INT(Attendance[Start time])=Training_Attendance[[#This Row],[Date]]),0)*IFERROR(--(ISNUMBER(SEARCH(P$1,Attendance[Attendees]))),0)*IFERROR(--(Attendance[Session Type]="Training"),0))&gt;0,"Y","")</f>
        <v/>
      </c>
      <c r="Q53" s="303" t="str" cm="1">
        <f t="array" ref="Q53">IF(SUMPRODUCT(IFERROR(--(INT(Attendance[Start time])=Training_Attendance[[#This Row],[Date]]),0)*IFERROR(--(ISNUMBER(SEARCH(Q$1,Attendance[Attendees]))),0)*IFERROR(--(Attendance[Session Type]="Training"),0))&gt;0,"Y","")</f>
        <v/>
      </c>
      <c r="R53" s="303" t="str" cm="1">
        <f t="array" ref="R53">IF(SUMPRODUCT(IFERROR(--(INT(Attendance[Start time])=Training_Attendance[[#This Row],[Date]]),0)*IFERROR(--(ISNUMBER(SEARCH(R$1,Attendance[Attendees]))),0)*IFERROR(--(Attendance[Session Type]="Training"),0))&gt;0,"Y","")</f>
        <v/>
      </c>
      <c r="S53" s="303" t="str" cm="1">
        <f t="array" ref="S53">IF(SUMPRODUCT(IFERROR(--(INT(Attendance[Start time])=Training_Attendance[[#This Row],[Date]]),0)*IFERROR(--(ISNUMBER(SEARCH(S$1,Attendance[Attendees]))),0)*IFERROR(--(Attendance[Session Type]="Training"),0))&gt;0,"Y","")</f>
        <v/>
      </c>
      <c r="T53" s="303" t="str" cm="1">
        <f t="array" ref="T53">IF(SUMPRODUCT(IFERROR(--(INT(Attendance[Start time])=Training_Attendance[[#This Row],[Date]]),0)*IFERROR(--(ISNUMBER(SEARCH(T$1,Attendance[Attendees]))),0)*IFERROR(--(Attendance[Session Type]="Training"),0))&gt;0,"Y","")</f>
        <v/>
      </c>
      <c r="U53" s="303" t="str" cm="1">
        <f t="array" ref="U53">IF(SUMPRODUCT(IFERROR(--(INT(Attendance[Start time])=Training_Attendance[[#This Row],[Date]]),0)*IFERROR(--(ISNUMBER(SEARCH(U$1,Attendance[Attendees]))),0)*IFERROR(--(Attendance[Session Type]="Training"),0))&gt;0,"Y","")</f>
        <v/>
      </c>
      <c r="V53" s="303" t="str" cm="1">
        <f t="array" ref="V53">IF(SUMPRODUCT(IFERROR(--(INT(Attendance[Start time])=Training_Attendance[[#This Row],[Date]]),0)*IFERROR(--(ISNUMBER(SEARCH(V$1,Attendance[Attendees]))),0)*IFERROR(--(Attendance[Session Type]="Training"),0))&gt;0,"Y","")</f>
        <v/>
      </c>
      <c r="W53" s="303" t="str" cm="1">
        <f t="array" ref="W53">IF(SUMPRODUCT(IFERROR(--(INT(Attendance[Start time])=Training_Attendance[[#This Row],[Date]]),0)*IFERROR(--(ISNUMBER(SEARCH(W$1,Attendance[Attendees]))),0)*IFERROR(--(Attendance[Session Type]="Training"),0))&gt;0,"Y","")</f>
        <v/>
      </c>
      <c r="X53" s="303" t="str" cm="1">
        <f t="array" ref="X53">IF(SUMPRODUCT(IFERROR(--(INT(Attendance[Start time])=Training_Attendance[[#This Row],[Date]]),0)*IFERROR(--(ISNUMBER(SEARCH(X$1,Attendance[Attendees]))),0)*IFERROR(--(Attendance[Session Type]="Training"),0))&gt;0,"Y","")</f>
        <v/>
      </c>
      <c r="Y53" s="303" t="str" cm="1">
        <f t="array" ref="Y53">IF(SUMPRODUCT(IFERROR(--(INT(Attendance[Start time])=Training_Attendance[[#This Row],[Date]]),0)*IFERROR(--(ISNUMBER(SEARCH(Y$1,Attendance[Attendees]))),0)*IFERROR(--(Attendance[Session Type]="Training"),0))&gt;0,"Y","")</f>
        <v/>
      </c>
      <c r="Z53" s="303" t="str" cm="1">
        <f t="array" ref="Z53">IF(SUMPRODUCT(IFERROR(--(INT(Attendance[Start time])=Training_Attendance[[#This Row],[Date]]),0)*IFERROR(--(ISNUMBER(SEARCH(Z$1,Attendance[Attendees]))),0)*IFERROR(--(Attendance[Session Type]="Training"),0))&gt;0,"Y","")</f>
        <v/>
      </c>
      <c r="AA53" s="303" t="str" cm="1">
        <f t="array" ref="AA53">IF(SUMPRODUCT(IFERROR(--(INT(Attendance[Start time])=Training_Attendance[[#This Row],[Date]]),0)*IFERROR(--(ISNUMBER(SEARCH(AA$1,Attendance[Attendees]))),0)*IFERROR(--(Attendance[Session Type]="Training"),0))&gt;0,"Y","")</f>
        <v/>
      </c>
      <c r="AB53" s="303" t="str" cm="1">
        <f t="array" ref="AB53">IF(SUMPRODUCT(IFERROR(--(INT(Attendance[Start time])=Training_Attendance[[#This Row],[Date]]),0)*IFERROR(--(ISNUMBER(SEARCH(AB$1,Attendance[Attendees]))),0)*IFERROR(--(Attendance[Session Type]="Training"),0))&gt;0,"Y","")</f>
        <v/>
      </c>
      <c r="AC53" s="303" t="str" cm="1">
        <f t="array" ref="AC53">IF(SUMPRODUCT(IFERROR(--(INT(Attendance[Start time])=Training_Attendance[[#This Row],[Date]]),0)*IFERROR(--(ISNUMBER(SEARCH(AC$1,Attendance[Attendees]))),0)*IFERROR(--(Attendance[Session Type]="Training"),0))&gt;0,"Y","")</f>
        <v/>
      </c>
      <c r="AD53" s="304">
        <f>COUNTIF(Training_Attendance[[#This Row],[Alf M]:[Ronnie D]],"Y")</f>
        <v>0</v>
      </c>
      <c r="AE53" s="166"/>
    </row>
    <row r="54" spans="1:31" s="293" customFormat="1" ht="32" customHeight="1" thickTop="1" x14ac:dyDescent="0.35">
      <c r="A54" s="289"/>
      <c r="B54" s="290"/>
      <c r="C54" s="290" t="s">
        <v>230</v>
      </c>
      <c r="D54" s="301">
        <f>COUNTIF(D2:D53, "Y")</f>
        <v>1</v>
      </c>
      <c r="E54" s="301">
        <f t="shared" ref="E54:AC54" si="0">COUNTIF(E2:E53, "Y")</f>
        <v>0</v>
      </c>
      <c r="F54" s="301">
        <f t="shared" si="0"/>
        <v>0</v>
      </c>
      <c r="G54" s="301">
        <f t="shared" si="0"/>
        <v>0</v>
      </c>
      <c r="H54" s="301">
        <f t="shared" si="0"/>
        <v>0</v>
      </c>
      <c r="I54" s="301">
        <f t="shared" si="0"/>
        <v>1</v>
      </c>
      <c r="J54" s="301">
        <f t="shared" si="0"/>
        <v>0</v>
      </c>
      <c r="K54" s="301">
        <f t="shared" si="0"/>
        <v>0</v>
      </c>
      <c r="L54" s="301">
        <f t="shared" si="0"/>
        <v>0</v>
      </c>
      <c r="M54" s="301">
        <f t="shared" si="0"/>
        <v>1</v>
      </c>
      <c r="N54" s="301">
        <f t="shared" si="0"/>
        <v>0</v>
      </c>
      <c r="O54" s="301">
        <f t="shared" si="0"/>
        <v>0</v>
      </c>
      <c r="P54" s="301">
        <f t="shared" si="0"/>
        <v>0</v>
      </c>
      <c r="Q54" s="301">
        <f t="shared" si="0"/>
        <v>0</v>
      </c>
      <c r="R54" s="301">
        <f t="shared" si="0"/>
        <v>1</v>
      </c>
      <c r="S54" s="301">
        <f t="shared" si="0"/>
        <v>0</v>
      </c>
      <c r="T54" s="301">
        <f t="shared" si="0"/>
        <v>0</v>
      </c>
      <c r="U54" s="301">
        <f t="shared" si="0"/>
        <v>0</v>
      </c>
      <c r="V54" s="301">
        <f t="shared" si="0"/>
        <v>1</v>
      </c>
      <c r="W54" s="301">
        <f t="shared" si="0"/>
        <v>0</v>
      </c>
      <c r="X54" s="301">
        <f t="shared" si="0"/>
        <v>0</v>
      </c>
      <c r="Y54" s="301">
        <f t="shared" si="0"/>
        <v>0</v>
      </c>
      <c r="Z54" s="301">
        <f t="shared" si="0"/>
        <v>0</v>
      </c>
      <c r="AA54" s="301">
        <f t="shared" si="0"/>
        <v>0</v>
      </c>
      <c r="AB54" s="301">
        <f t="shared" si="0"/>
        <v>0</v>
      </c>
      <c r="AC54" s="301">
        <f t="shared" si="0"/>
        <v>0</v>
      </c>
      <c r="AD54" s="302">
        <f>SUBTOTAL(109,Training_Attendance[COUNT])</f>
        <v>5</v>
      </c>
      <c r="AE54" s="292"/>
    </row>
    <row r="55" spans="1:31" s="293" customFormat="1" ht="32" customHeight="1" thickBot="1" x14ac:dyDescent="0.4">
      <c r="A55" s="289"/>
      <c r="B55" s="290"/>
      <c r="C55" s="290"/>
      <c r="D55" s="291"/>
      <c r="E55" s="291"/>
      <c r="F55" s="291"/>
      <c r="G55" s="291"/>
      <c r="H55" s="291"/>
      <c r="I55" s="291"/>
      <c r="J55" s="291"/>
      <c r="K55" s="291"/>
      <c r="L55" s="291"/>
      <c r="M55" s="291"/>
      <c r="N55" s="291"/>
      <c r="O55" s="291"/>
      <c r="P55" s="291"/>
      <c r="Q55" s="291"/>
      <c r="R55" s="291"/>
      <c r="S55" s="291"/>
      <c r="T55" s="291"/>
      <c r="U55" s="291"/>
      <c r="V55" s="291"/>
      <c r="W55" s="291"/>
      <c r="X55" s="291"/>
      <c r="Y55" s="291"/>
      <c r="Z55" s="291"/>
      <c r="AA55" s="291"/>
      <c r="AB55" s="291"/>
      <c r="AC55" s="291"/>
      <c r="AD55" s="290"/>
      <c r="AE55" s="292"/>
    </row>
    <row r="56" spans="1:31" s="293" customFormat="1" ht="32" customHeight="1" x14ac:dyDescent="0.35">
      <c r="A56" s="289"/>
      <c r="B56" s="290"/>
      <c r="C56" s="287" t="s">
        <v>231</v>
      </c>
      <c r="D56" s="294">
        <f>COUNTIF(D3:D54, "I")</f>
        <v>0</v>
      </c>
      <c r="E56" s="294">
        <f>COUNTIF(E3:E54, "I")</f>
        <v>0</v>
      </c>
      <c r="F56" s="294">
        <f>COUNTIF(F3:F54, "I")</f>
        <v>0</v>
      </c>
      <c r="G56" s="294">
        <f>COUNTIF(G3:G54, "I")</f>
        <v>0</v>
      </c>
      <c r="H56" s="294">
        <f>COUNTIF(H3:H54, "I")</f>
        <v>0</v>
      </c>
      <c r="I56" s="294">
        <f>COUNTIF(I3:I54, "I")</f>
        <v>0</v>
      </c>
      <c r="J56" s="294">
        <f>COUNTIF(J3:J54, "I")</f>
        <v>0</v>
      </c>
      <c r="K56" s="294">
        <f>COUNTIF(K3:K54, "I")</f>
        <v>0</v>
      </c>
      <c r="L56" s="294">
        <f>COUNTIF(L3:L54, "I")</f>
        <v>0</v>
      </c>
      <c r="M56" s="294">
        <f>COUNTIF(M3:M54, "I")</f>
        <v>0</v>
      </c>
      <c r="N56" s="294">
        <f>COUNTIF(N3:N54, "I")</f>
        <v>0</v>
      </c>
      <c r="O56" s="294">
        <f>COUNTIF(O3:O54, "I")</f>
        <v>0</v>
      </c>
      <c r="P56" s="294">
        <f>COUNTIF(P3:P54, "I")</f>
        <v>0</v>
      </c>
      <c r="Q56" s="294">
        <f>COUNTIF(Q3:Q54, "I")</f>
        <v>0</v>
      </c>
      <c r="R56" s="294">
        <f>COUNTIF(R3:R54, "I")</f>
        <v>0</v>
      </c>
      <c r="S56" s="294">
        <f>COUNTIF(S3:S54, "I")</f>
        <v>0</v>
      </c>
      <c r="T56" s="294">
        <f>COUNTIF(T3:T54, "I")</f>
        <v>0</v>
      </c>
      <c r="U56" s="294">
        <f>COUNTIF(U3:U54, "I")</f>
        <v>0</v>
      </c>
      <c r="V56" s="294">
        <f>COUNTIF(V3:V54, "I")</f>
        <v>0</v>
      </c>
      <c r="W56" s="294">
        <f>COUNTIF(W3:W54, "I")</f>
        <v>0</v>
      </c>
      <c r="X56" s="294">
        <f>COUNTIF(X3:X54, "I")</f>
        <v>0</v>
      </c>
      <c r="Y56" s="294">
        <f>COUNTIF(Y3:Y54, "I")</f>
        <v>0</v>
      </c>
      <c r="Z56" s="294">
        <f>COUNTIF(Z3:Z54, "I")</f>
        <v>0</v>
      </c>
      <c r="AA56" s="294">
        <f>COUNTIF(AA3:AA54, "I")</f>
        <v>0</v>
      </c>
      <c r="AB56" s="294">
        <f>COUNTIF(AB3:AB54, "I")</f>
        <v>0</v>
      </c>
      <c r="AC56" s="295">
        <f>COUNTIF(AC3:AC54, "I")</f>
        <v>0</v>
      </c>
      <c r="AD56" s="291"/>
      <c r="AE56" s="292"/>
    </row>
    <row r="57" spans="1:31" s="18" customFormat="1" ht="32" customHeight="1" thickBot="1" x14ac:dyDescent="0.4">
      <c r="A57" s="296"/>
      <c r="B57" s="297"/>
      <c r="C57" s="288" t="s">
        <v>232</v>
      </c>
      <c r="D57" s="298">
        <f ca="1">COUNTIFS(D2:D53,"",$A$2:$A$53,"&lt;="&amp;TODAY())</f>
        <v>0</v>
      </c>
      <c r="E57" s="298">
        <f ca="1">COUNTIFS(E2:E53,"",$A$2:$A$53,"&lt;="&amp;TODAY())</f>
        <v>0</v>
      </c>
      <c r="F57" s="298">
        <f ca="1">COUNTIFS(F2:F53,"",$A$2:$A$53,"&lt;="&amp;TODAY())</f>
        <v>0</v>
      </c>
      <c r="G57" s="298">
        <f ca="1">COUNTIFS(G2:G53,"",$A$2:$A$53,"&lt;="&amp;TODAY())</f>
        <v>0</v>
      </c>
      <c r="H57" s="298">
        <f ca="1">COUNTIFS(H2:H53,"",$A$2:$A$53,"&lt;="&amp;TODAY())</f>
        <v>0</v>
      </c>
      <c r="I57" s="298">
        <f ca="1">COUNTIFS(I2:I53,"",$A$2:$A$53,"&lt;="&amp;TODAY())</f>
        <v>0</v>
      </c>
      <c r="J57" s="298">
        <f ca="1">COUNTIFS(J2:J53,"",$A$2:$A$53,"&lt;="&amp;TODAY())</f>
        <v>0</v>
      </c>
      <c r="K57" s="298">
        <f ca="1">COUNTIFS(K2:K53,"",$A$2:$A$53,"&lt;="&amp;TODAY())</f>
        <v>0</v>
      </c>
      <c r="L57" s="298">
        <f ca="1">COUNTIFS(L2:L53,"",$A$2:$A$53,"&lt;="&amp;TODAY())</f>
        <v>0</v>
      </c>
      <c r="M57" s="298">
        <f ca="1">COUNTIFS(M2:M53,"",$A$2:$A$53,"&lt;="&amp;TODAY())</f>
        <v>0</v>
      </c>
      <c r="N57" s="298">
        <f ca="1">COUNTIFS(N2:N53,"",$A$2:$A$53,"&lt;="&amp;TODAY())</f>
        <v>0</v>
      </c>
      <c r="O57" s="298">
        <f ca="1">COUNTIFS(O2:O53,"",$A$2:$A$53,"&lt;="&amp;TODAY())</f>
        <v>0</v>
      </c>
      <c r="P57" s="298">
        <f ca="1">COUNTIFS(P2:P53,"",$A$2:$A$53,"&lt;="&amp;TODAY())</f>
        <v>0</v>
      </c>
      <c r="Q57" s="298">
        <f ca="1">COUNTIFS(Q2:Q53,"",$A$2:$A$53,"&lt;="&amp;TODAY())</f>
        <v>0</v>
      </c>
      <c r="R57" s="298">
        <f ca="1">COUNTIFS(R2:R53,"",$A$2:$A$53,"&lt;="&amp;TODAY())</f>
        <v>0</v>
      </c>
      <c r="S57" s="298">
        <f ca="1">COUNTIFS(S2:S53,"",$A$2:$A$53,"&lt;="&amp;TODAY())</f>
        <v>0</v>
      </c>
      <c r="T57" s="298">
        <f ca="1">COUNTIFS(T2:T53,"",$A$2:$A$53,"&lt;="&amp;TODAY())</f>
        <v>0</v>
      </c>
      <c r="U57" s="298">
        <f ca="1">COUNTIFS(U2:U53,"",$A$2:$A$53,"&lt;="&amp;TODAY())</f>
        <v>0</v>
      </c>
      <c r="V57" s="298">
        <f ca="1">COUNTIFS(V2:V53,"",$A$2:$A$53,"&lt;="&amp;TODAY())</f>
        <v>0</v>
      </c>
      <c r="W57" s="298">
        <f ca="1">COUNTIFS(W2:W53,"",$A$2:$A$53,"&lt;="&amp;TODAY())</f>
        <v>0</v>
      </c>
      <c r="X57" s="298">
        <f ca="1">COUNTIFS(X2:X53,"",$A$2:$A$53,"&lt;="&amp;TODAY())</f>
        <v>0</v>
      </c>
      <c r="Y57" s="298">
        <f ca="1">COUNTIFS(Y2:Y53,"",$A$2:$A$53,"&lt;="&amp;TODAY())</f>
        <v>0</v>
      </c>
      <c r="Z57" s="298">
        <f ca="1">COUNTIFS(Z2:Z53,"",$A$2:$A$53,"&lt;="&amp;TODAY())</f>
        <v>0</v>
      </c>
      <c r="AA57" s="298">
        <f ca="1">COUNTIFS(AA2:AA53,"",$A$2:$A$53,"&lt;="&amp;TODAY())</f>
        <v>0</v>
      </c>
      <c r="AB57" s="298">
        <f ca="1">COUNTIFS(AB2:AB53,"",$A$2:$A$53,"&lt;="&amp;TODAY())</f>
        <v>0</v>
      </c>
      <c r="AC57" s="299">
        <f ca="1">COUNTIFS(AC2:AC53,"",$A$2:$A$53,"&lt;="&amp;TODAY())</f>
        <v>0</v>
      </c>
      <c r="AD57" s="291"/>
      <c r="AE57" s="300"/>
    </row>
    <row r="58" spans="1:31" ht="16" customHeight="1" x14ac:dyDescent="0.3"/>
    <row r="59" spans="1:31" ht="16" customHeight="1" x14ac:dyDescent="0.3"/>
    <row r="60" spans="1:31" ht="16" customHeight="1" x14ac:dyDescent="0.3"/>
    <row r="61" spans="1:31" ht="16" customHeight="1" x14ac:dyDescent="0.3"/>
    <row r="62" spans="1:31" ht="16" customHeight="1" x14ac:dyDescent="0.3"/>
    <row r="63" spans="1:31" ht="16" customHeight="1" x14ac:dyDescent="0.3"/>
    <row r="64" spans="1:31" ht="16" customHeight="1" x14ac:dyDescent="0.3"/>
    <row r="65" ht="16" customHeight="1" x14ac:dyDescent="0.3"/>
    <row r="66" ht="16" customHeight="1" x14ac:dyDescent="0.3"/>
    <row r="67" ht="16" customHeight="1" x14ac:dyDescent="0.3"/>
    <row r="68" ht="16" customHeight="1" x14ac:dyDescent="0.3"/>
    <row r="69" ht="16" customHeight="1" x14ac:dyDescent="0.3"/>
    <row r="70" ht="16" customHeight="1" x14ac:dyDescent="0.3"/>
    <row r="71" ht="16" customHeight="1" x14ac:dyDescent="0.3"/>
    <row r="72" ht="16" customHeight="1" x14ac:dyDescent="0.3"/>
    <row r="73" ht="16" customHeight="1" x14ac:dyDescent="0.3"/>
    <row r="74" ht="16" customHeight="1" x14ac:dyDescent="0.3"/>
    <row r="75" ht="16" customHeight="1" x14ac:dyDescent="0.3"/>
    <row r="76" ht="16" customHeight="1" x14ac:dyDescent="0.3"/>
    <row r="77" ht="16" customHeight="1" x14ac:dyDescent="0.3"/>
  </sheetData>
  <sheetProtection selectLockedCells="1"/>
  <conditionalFormatting sqref="D2:AC53">
    <cfRule type="expression" dxfId="4" priority="2">
      <formula>D2=TRUE</formula>
    </cfRule>
    <cfRule type="containsText" dxfId="3" priority="3" operator="containsText" text="N">
      <formula>NOT(ISERROR(SEARCH("N",D2)))</formula>
    </cfRule>
    <cfRule type="containsText" dxfId="2" priority="8" operator="containsText" text="I">
      <formula>NOT(ISERROR(SEARCH("I",D2)))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2F353-21C8-4941-B11B-D36AB1B6E01D}">
  <dimension ref="A1:I46"/>
  <sheetViews>
    <sheetView tabSelected="1" workbookViewId="0">
      <selection activeCell="A5" sqref="A5"/>
    </sheetView>
  </sheetViews>
  <sheetFormatPr defaultRowHeight="14.5" x14ac:dyDescent="0.35"/>
  <cols>
    <col min="2" max="2" width="15.08984375" bestFit="1" customWidth="1"/>
    <col min="3" max="3" width="9" customWidth="1"/>
    <col min="5" max="5" width="10.36328125" customWidth="1"/>
    <col min="6" max="6" width="10.6328125" customWidth="1"/>
    <col min="7" max="7" width="19" customWidth="1"/>
    <col min="8" max="8" width="12.26953125" customWidth="1"/>
    <col min="9" max="9" width="10.1796875" customWidth="1"/>
  </cols>
  <sheetData>
    <row r="1" spans="1:9" x14ac:dyDescent="0.35">
      <c r="A1" t="s">
        <v>226</v>
      </c>
      <c r="B1" t="s">
        <v>227</v>
      </c>
      <c r="C1" t="s">
        <v>233</v>
      </c>
      <c r="D1" t="s">
        <v>234</v>
      </c>
      <c r="E1" t="s">
        <v>235</v>
      </c>
      <c r="F1" t="s">
        <v>236</v>
      </c>
      <c r="G1" t="s">
        <v>237</v>
      </c>
      <c r="H1" t="s">
        <v>238</v>
      </c>
      <c r="I1" t="s">
        <v>239</v>
      </c>
    </row>
    <row r="2" spans="1:9" x14ac:dyDescent="0.35">
      <c r="A2">
        <f>[2]!OfficeForms.Table[[#This Row],[Id]]</f>
        <v>1</v>
      </c>
      <c r="B2" s="285">
        <f>[2]!OfficeForms.Table[[#This Row],[Start time]]</f>
        <v>46203.638888888891</v>
      </c>
      <c r="C2" t="str">
        <f>[2]!OfficeForms.Table[[#This Row],[Scorers]]</f>
        <v>Alf</v>
      </c>
      <c r="D2" t="str">
        <f>[2]!OfficeForms.Table[[#This Row],[Assists]]</f>
        <v>joe</v>
      </c>
      <c r="E2" t="str">
        <f>[2]!OfficeForms.Table[[#This Row],[Penalties]]</f>
        <v>Kalan</v>
      </c>
      <c r="F2" t="str">
        <f>[2]!OfficeForms.Table[[#This Row],[Freekicks]]</f>
        <v>Jay</v>
      </c>
      <c r="G2">
        <f>[2]!OfficeForms.Table[[#This Row],[Yellow Card - Sin Bin]]</f>
        <v>0</v>
      </c>
      <c r="H2">
        <f>[2]!OfficeForms.Table[[#This Row],[Yellow Card]]</f>
        <v>0</v>
      </c>
      <c r="I2">
        <f>[2]!OfficeForms.Table[[#This Row],[Red Card]]</f>
        <v>0</v>
      </c>
    </row>
    <row r="3" spans="1:9" x14ac:dyDescent="0.35">
      <c r="A3">
        <f>[2]!OfficeForms.Table[[#This Row],[Id]]</f>
        <v>2</v>
      </c>
      <c r="B3" s="285">
        <f>[2]!OfficeForms.Table[[#This Row],[Start time]]</f>
        <v>46203.641504629632</v>
      </c>
      <c r="C3" t="str">
        <f>[2]!OfficeForms.Table[[#This Row],[Scorers]]</f>
        <v>Ryeley</v>
      </c>
      <c r="D3" t="str">
        <f>[2]!OfficeForms.Table[[#This Row],[Assists]]</f>
        <v>Bailey</v>
      </c>
      <c r="E3" t="str">
        <f>[2]!OfficeForms.Table[[#This Row],[Penalties]]</f>
        <v>Joe</v>
      </c>
      <c r="F3" t="str">
        <f>[2]!OfficeForms.Table[[#This Row],[Freekicks]]</f>
        <v>Kalen</v>
      </c>
      <c r="G3" t="str">
        <f>[2]!OfficeForms.Table[[#This Row],[Yellow Card - Sin Bin]]</f>
        <v>Josh</v>
      </c>
      <c r="H3" t="str">
        <f>[2]!OfficeForms.Table[[#This Row],[Yellow Card]]</f>
        <v>Ronnie T</v>
      </c>
      <c r="I3" t="str">
        <f>[2]!OfficeForms.Table[[#This Row],[Red Card]]</f>
        <v>Ronnie D</v>
      </c>
    </row>
    <row r="4" spans="1:9" x14ac:dyDescent="0.35">
      <c r="A4">
        <f>[2]!OfficeForms.Table[[#This Row],[Id]]</f>
        <v>3</v>
      </c>
      <c r="B4" s="285">
        <f>[2]!OfficeForms.Table[[#This Row],[Start time]]</f>
        <v>46203.669861111099</v>
      </c>
      <c r="C4" t="str">
        <f>[2]!OfficeForms.Table[[#This Row],[Scorers]]</f>
        <v>joe, josh</v>
      </c>
      <c r="D4">
        <f>[2]!OfficeForms.Table[[#This Row],[Assists]]</f>
        <v>0</v>
      </c>
      <c r="E4">
        <f>[2]!OfficeForms.Table[[#This Row],[Penalties]]</f>
        <v>0</v>
      </c>
      <c r="F4">
        <f>[2]!OfficeForms.Table[[#This Row],[Freekicks]]</f>
        <v>0</v>
      </c>
      <c r="G4">
        <f>[2]!OfficeForms.Table[[#This Row],[Yellow Card - Sin Bin]]</f>
        <v>0</v>
      </c>
      <c r="H4">
        <f>[2]!OfficeForms.Table[[#This Row],[Yellow Card]]</f>
        <v>0</v>
      </c>
      <c r="I4">
        <f>[2]!OfficeForms.Table[[#This Row],[Red Card]]</f>
        <v>0</v>
      </c>
    </row>
    <row r="5" spans="1:9" x14ac:dyDescent="0.35">
      <c r="A5" t="e">
        <f>[2]!OfficeForms.Table[[#This Row],[Id]]</f>
        <v>#VALUE!</v>
      </c>
      <c r="B5" s="285" t="e">
        <f>[2]!OfficeForms.Table[[#This Row],[Start time]]</f>
        <v>#VALUE!</v>
      </c>
      <c r="C5" t="e">
        <f>[2]!OfficeForms.Table[[#This Row],[Scorers]]</f>
        <v>#VALUE!</v>
      </c>
      <c r="D5" t="e">
        <f>[2]!OfficeForms.Table[[#This Row],[Assists]]</f>
        <v>#VALUE!</v>
      </c>
      <c r="E5" t="e">
        <f>[2]!OfficeForms.Table[[#This Row],[Penalties]]</f>
        <v>#VALUE!</v>
      </c>
      <c r="F5" t="e">
        <f>[2]!OfficeForms.Table[[#This Row],[Freekicks]]</f>
        <v>#VALUE!</v>
      </c>
      <c r="G5" t="e">
        <f>[2]!OfficeForms.Table[[#This Row],[Yellow Card - Sin Bin]]</f>
        <v>#VALUE!</v>
      </c>
      <c r="H5" t="e">
        <f>[2]!OfficeForms.Table[[#This Row],[Yellow Card]]</f>
        <v>#VALUE!</v>
      </c>
      <c r="I5" t="e">
        <f>[2]!OfficeForms.Table[[#This Row],[Red Card]]</f>
        <v>#VALUE!</v>
      </c>
    </row>
    <row r="6" spans="1:9" x14ac:dyDescent="0.35">
      <c r="A6" t="e">
        <f>[2]!OfficeForms.Table[[#This Row],[Id]]</f>
        <v>#VALUE!</v>
      </c>
      <c r="B6" s="285" t="e">
        <f>[2]!OfficeForms.Table[[#This Row],[Start time]]</f>
        <v>#VALUE!</v>
      </c>
      <c r="C6" t="e">
        <f>[2]!OfficeForms.Table[[#This Row],[Scorers]]</f>
        <v>#VALUE!</v>
      </c>
      <c r="D6" t="e">
        <f>[2]!OfficeForms.Table[[#This Row],[Assists]]</f>
        <v>#VALUE!</v>
      </c>
      <c r="E6" t="e">
        <f>[2]!OfficeForms.Table[[#This Row],[Penalties]]</f>
        <v>#VALUE!</v>
      </c>
      <c r="F6" t="e">
        <f>[2]!OfficeForms.Table[[#This Row],[Freekicks]]</f>
        <v>#VALUE!</v>
      </c>
      <c r="G6" t="e">
        <f>[2]!OfficeForms.Table[[#This Row],[Yellow Card - Sin Bin]]</f>
        <v>#VALUE!</v>
      </c>
      <c r="H6" t="e">
        <f>[2]!OfficeForms.Table[[#This Row],[Yellow Card]]</f>
        <v>#VALUE!</v>
      </c>
      <c r="I6" t="e">
        <f>[2]!OfficeForms.Table[[#This Row],[Red Card]]</f>
        <v>#VALUE!</v>
      </c>
    </row>
    <row r="7" spans="1:9" x14ac:dyDescent="0.35">
      <c r="A7" t="e">
        <f>[2]!OfficeForms.Table[[#This Row],[Id]]</f>
        <v>#VALUE!</v>
      </c>
      <c r="B7" s="285" t="e">
        <f>[2]!OfficeForms.Table[[#This Row],[Start time]]</f>
        <v>#VALUE!</v>
      </c>
      <c r="C7" t="e">
        <f>[2]!OfficeForms.Table[[#This Row],[Scorers]]</f>
        <v>#VALUE!</v>
      </c>
      <c r="D7" t="e">
        <f>[2]!OfficeForms.Table[[#This Row],[Assists]]</f>
        <v>#VALUE!</v>
      </c>
      <c r="E7" t="e">
        <f>[2]!OfficeForms.Table[[#This Row],[Penalties]]</f>
        <v>#VALUE!</v>
      </c>
      <c r="F7" t="e">
        <f>[2]!OfficeForms.Table[[#This Row],[Freekicks]]</f>
        <v>#VALUE!</v>
      </c>
      <c r="G7" t="e">
        <f>[2]!OfficeForms.Table[[#This Row],[Yellow Card - Sin Bin]]</f>
        <v>#VALUE!</v>
      </c>
      <c r="H7" t="e">
        <f>[2]!OfficeForms.Table[[#This Row],[Yellow Card]]</f>
        <v>#VALUE!</v>
      </c>
      <c r="I7" t="e">
        <f>[2]!OfficeForms.Table[[#This Row],[Red Card]]</f>
        <v>#VALUE!</v>
      </c>
    </row>
    <row r="8" spans="1:9" x14ac:dyDescent="0.35">
      <c r="A8" t="e">
        <f>[2]!OfficeForms.Table[[#This Row],[Id]]</f>
        <v>#VALUE!</v>
      </c>
      <c r="B8" s="285" t="e">
        <f>[2]!OfficeForms.Table[[#This Row],[Start time]]</f>
        <v>#VALUE!</v>
      </c>
      <c r="C8" t="e">
        <f>[2]!OfficeForms.Table[[#This Row],[Scorers]]</f>
        <v>#VALUE!</v>
      </c>
      <c r="D8" t="e">
        <f>[2]!OfficeForms.Table[[#This Row],[Assists]]</f>
        <v>#VALUE!</v>
      </c>
      <c r="E8" t="e">
        <f>[2]!OfficeForms.Table[[#This Row],[Penalties]]</f>
        <v>#VALUE!</v>
      </c>
      <c r="F8" t="e">
        <f>[2]!OfficeForms.Table[[#This Row],[Freekicks]]</f>
        <v>#VALUE!</v>
      </c>
      <c r="G8" t="e">
        <f>[2]!OfficeForms.Table[[#This Row],[Yellow Card - Sin Bin]]</f>
        <v>#VALUE!</v>
      </c>
      <c r="H8" t="e">
        <f>[2]!OfficeForms.Table[[#This Row],[Yellow Card]]</f>
        <v>#VALUE!</v>
      </c>
      <c r="I8" t="e">
        <f>[2]!OfficeForms.Table[[#This Row],[Red Card]]</f>
        <v>#VALUE!</v>
      </c>
    </row>
    <row r="9" spans="1:9" x14ac:dyDescent="0.35">
      <c r="A9" t="e">
        <f>[2]!OfficeForms.Table[[#This Row],[Id]]</f>
        <v>#VALUE!</v>
      </c>
      <c r="B9" s="285" t="e">
        <f>[2]!OfficeForms.Table[[#This Row],[Start time]]</f>
        <v>#VALUE!</v>
      </c>
      <c r="C9" t="e">
        <f>[2]!OfficeForms.Table[[#This Row],[Scorers]]</f>
        <v>#VALUE!</v>
      </c>
      <c r="D9" t="e">
        <f>[2]!OfficeForms.Table[[#This Row],[Assists]]</f>
        <v>#VALUE!</v>
      </c>
      <c r="E9" t="e">
        <f>[2]!OfficeForms.Table[[#This Row],[Penalties]]</f>
        <v>#VALUE!</v>
      </c>
      <c r="F9" t="e">
        <f>[2]!OfficeForms.Table[[#This Row],[Freekicks]]</f>
        <v>#VALUE!</v>
      </c>
      <c r="G9" t="e">
        <f>[2]!OfficeForms.Table[[#This Row],[Yellow Card - Sin Bin]]</f>
        <v>#VALUE!</v>
      </c>
      <c r="H9" t="e">
        <f>[2]!OfficeForms.Table[[#This Row],[Yellow Card]]</f>
        <v>#VALUE!</v>
      </c>
      <c r="I9" t="e">
        <f>[2]!OfficeForms.Table[[#This Row],[Red Card]]</f>
        <v>#VALUE!</v>
      </c>
    </row>
    <row r="10" spans="1:9" x14ac:dyDescent="0.35">
      <c r="A10" t="e">
        <f>[2]!OfficeForms.Table[[#This Row],[Id]]</f>
        <v>#VALUE!</v>
      </c>
      <c r="B10" s="285" t="e">
        <f>[2]!OfficeForms.Table[[#This Row],[Start time]]</f>
        <v>#VALUE!</v>
      </c>
      <c r="C10" t="e">
        <f>[2]!OfficeForms.Table[[#This Row],[Scorers]]</f>
        <v>#VALUE!</v>
      </c>
      <c r="D10" t="e">
        <f>[2]!OfficeForms.Table[[#This Row],[Assists]]</f>
        <v>#VALUE!</v>
      </c>
      <c r="E10" t="e">
        <f>[2]!OfficeForms.Table[[#This Row],[Penalties]]</f>
        <v>#VALUE!</v>
      </c>
      <c r="F10" t="e">
        <f>[2]!OfficeForms.Table[[#This Row],[Freekicks]]</f>
        <v>#VALUE!</v>
      </c>
      <c r="G10" t="e">
        <f>[2]!OfficeForms.Table[[#This Row],[Yellow Card - Sin Bin]]</f>
        <v>#VALUE!</v>
      </c>
      <c r="H10" t="e">
        <f>[2]!OfficeForms.Table[[#This Row],[Yellow Card]]</f>
        <v>#VALUE!</v>
      </c>
      <c r="I10" t="e">
        <f>[2]!OfficeForms.Table[[#This Row],[Red Card]]</f>
        <v>#VALUE!</v>
      </c>
    </row>
    <row r="11" spans="1:9" x14ac:dyDescent="0.35">
      <c r="A11" t="e">
        <f>[2]!OfficeForms.Table[[#This Row],[Id]]</f>
        <v>#VALUE!</v>
      </c>
      <c r="B11" s="285" t="e">
        <f>[2]!OfficeForms.Table[[#This Row],[Start time]]</f>
        <v>#VALUE!</v>
      </c>
      <c r="C11" t="e">
        <f>[2]!OfficeForms.Table[[#This Row],[Scorers]]</f>
        <v>#VALUE!</v>
      </c>
      <c r="D11" t="e">
        <f>[2]!OfficeForms.Table[[#This Row],[Assists]]</f>
        <v>#VALUE!</v>
      </c>
      <c r="E11" t="e">
        <f>[2]!OfficeForms.Table[[#This Row],[Penalties]]</f>
        <v>#VALUE!</v>
      </c>
      <c r="F11" t="e">
        <f>[2]!OfficeForms.Table[[#This Row],[Freekicks]]</f>
        <v>#VALUE!</v>
      </c>
      <c r="G11" t="e">
        <f>[2]!OfficeForms.Table[[#This Row],[Yellow Card - Sin Bin]]</f>
        <v>#VALUE!</v>
      </c>
      <c r="H11" t="e">
        <f>[2]!OfficeForms.Table[[#This Row],[Yellow Card]]</f>
        <v>#VALUE!</v>
      </c>
      <c r="I11" t="e">
        <f>[2]!OfficeForms.Table[[#This Row],[Red Card]]</f>
        <v>#VALUE!</v>
      </c>
    </row>
    <row r="12" spans="1:9" x14ac:dyDescent="0.35">
      <c r="A12" t="e">
        <f>[2]!OfficeForms.Table[[#This Row],[Id]]</f>
        <v>#VALUE!</v>
      </c>
      <c r="B12" s="285" t="e">
        <f>[2]!OfficeForms.Table[[#This Row],[Start time]]</f>
        <v>#VALUE!</v>
      </c>
      <c r="C12" t="e">
        <f>[2]!OfficeForms.Table[[#This Row],[Scorers]]</f>
        <v>#VALUE!</v>
      </c>
      <c r="D12" t="e">
        <f>[2]!OfficeForms.Table[[#This Row],[Assists]]</f>
        <v>#VALUE!</v>
      </c>
      <c r="E12" t="e">
        <f>[2]!OfficeForms.Table[[#This Row],[Penalties]]</f>
        <v>#VALUE!</v>
      </c>
      <c r="F12" t="e">
        <f>[2]!OfficeForms.Table[[#This Row],[Freekicks]]</f>
        <v>#VALUE!</v>
      </c>
      <c r="G12" t="e">
        <f>[2]!OfficeForms.Table[[#This Row],[Yellow Card - Sin Bin]]</f>
        <v>#VALUE!</v>
      </c>
      <c r="H12" t="e">
        <f>[2]!OfficeForms.Table[[#This Row],[Yellow Card]]</f>
        <v>#VALUE!</v>
      </c>
      <c r="I12" t="e">
        <f>[2]!OfficeForms.Table[[#This Row],[Red Card]]</f>
        <v>#VALUE!</v>
      </c>
    </row>
    <row r="13" spans="1:9" x14ac:dyDescent="0.35">
      <c r="A13" t="e">
        <f>[2]!OfficeForms.Table[[#This Row],[Id]]</f>
        <v>#VALUE!</v>
      </c>
      <c r="B13" s="285" t="e">
        <f>[2]!OfficeForms.Table[[#This Row],[Start time]]</f>
        <v>#VALUE!</v>
      </c>
      <c r="C13" t="e">
        <f>[2]!OfficeForms.Table[[#This Row],[Scorers]]</f>
        <v>#VALUE!</v>
      </c>
      <c r="D13" t="e">
        <f>[2]!OfficeForms.Table[[#This Row],[Assists]]</f>
        <v>#VALUE!</v>
      </c>
      <c r="E13" t="e">
        <f>[2]!OfficeForms.Table[[#This Row],[Penalties]]</f>
        <v>#VALUE!</v>
      </c>
      <c r="F13" t="e">
        <f>[2]!OfficeForms.Table[[#This Row],[Freekicks]]</f>
        <v>#VALUE!</v>
      </c>
      <c r="G13" t="e">
        <f>[2]!OfficeForms.Table[[#This Row],[Yellow Card - Sin Bin]]</f>
        <v>#VALUE!</v>
      </c>
      <c r="H13" t="e">
        <f>[2]!OfficeForms.Table[[#This Row],[Yellow Card]]</f>
        <v>#VALUE!</v>
      </c>
      <c r="I13" t="e">
        <f>[2]!OfficeForms.Table[[#This Row],[Red Card]]</f>
        <v>#VALUE!</v>
      </c>
    </row>
    <row r="14" spans="1:9" x14ac:dyDescent="0.35">
      <c r="A14" t="e">
        <f>[2]!OfficeForms.Table[[#This Row],[Id]]</f>
        <v>#VALUE!</v>
      </c>
      <c r="B14" s="285" t="e">
        <f>[2]!OfficeForms.Table[[#This Row],[Start time]]</f>
        <v>#VALUE!</v>
      </c>
      <c r="C14" t="e">
        <f>[2]!OfficeForms.Table[[#This Row],[Scorers]]</f>
        <v>#VALUE!</v>
      </c>
      <c r="D14" t="e">
        <f>[2]!OfficeForms.Table[[#This Row],[Assists]]</f>
        <v>#VALUE!</v>
      </c>
      <c r="E14" t="e">
        <f>[2]!OfficeForms.Table[[#This Row],[Penalties]]</f>
        <v>#VALUE!</v>
      </c>
      <c r="F14" t="e">
        <f>[2]!OfficeForms.Table[[#This Row],[Freekicks]]</f>
        <v>#VALUE!</v>
      </c>
      <c r="G14" t="e">
        <f>[2]!OfficeForms.Table[[#This Row],[Yellow Card - Sin Bin]]</f>
        <v>#VALUE!</v>
      </c>
      <c r="H14" t="e">
        <f>[2]!OfficeForms.Table[[#This Row],[Yellow Card]]</f>
        <v>#VALUE!</v>
      </c>
      <c r="I14" t="e">
        <f>[2]!OfficeForms.Table[[#This Row],[Red Card]]</f>
        <v>#VALUE!</v>
      </c>
    </row>
    <row r="15" spans="1:9" x14ac:dyDescent="0.35">
      <c r="A15" t="e">
        <f>[2]!OfficeForms.Table[[#This Row],[Id]]</f>
        <v>#VALUE!</v>
      </c>
      <c r="B15" s="285" t="e">
        <f>[2]!OfficeForms.Table[[#This Row],[Start time]]</f>
        <v>#VALUE!</v>
      </c>
      <c r="C15" t="e">
        <f>[2]!OfficeForms.Table[[#This Row],[Scorers]]</f>
        <v>#VALUE!</v>
      </c>
      <c r="D15" t="e">
        <f>[2]!OfficeForms.Table[[#This Row],[Assists]]</f>
        <v>#VALUE!</v>
      </c>
      <c r="E15" t="e">
        <f>[2]!OfficeForms.Table[[#This Row],[Penalties]]</f>
        <v>#VALUE!</v>
      </c>
      <c r="F15" t="e">
        <f>[2]!OfficeForms.Table[[#This Row],[Freekicks]]</f>
        <v>#VALUE!</v>
      </c>
      <c r="G15" t="e">
        <f>[2]!OfficeForms.Table[[#This Row],[Yellow Card - Sin Bin]]</f>
        <v>#VALUE!</v>
      </c>
      <c r="H15" t="e">
        <f>[2]!OfficeForms.Table[[#This Row],[Yellow Card]]</f>
        <v>#VALUE!</v>
      </c>
      <c r="I15" t="e">
        <f>[2]!OfficeForms.Table[[#This Row],[Red Card]]</f>
        <v>#VALUE!</v>
      </c>
    </row>
    <row r="16" spans="1:9" x14ac:dyDescent="0.35">
      <c r="A16" t="e">
        <f>[2]!OfficeForms.Table[[#This Row],[Id]]</f>
        <v>#VALUE!</v>
      </c>
      <c r="B16" s="285" t="e">
        <f>[2]!OfficeForms.Table[[#This Row],[Start time]]</f>
        <v>#VALUE!</v>
      </c>
      <c r="C16" t="e">
        <f>[2]!OfficeForms.Table[[#This Row],[Scorers]]</f>
        <v>#VALUE!</v>
      </c>
      <c r="D16" t="e">
        <f>[2]!OfficeForms.Table[[#This Row],[Assists]]</f>
        <v>#VALUE!</v>
      </c>
      <c r="E16" t="e">
        <f>[2]!OfficeForms.Table[[#This Row],[Penalties]]</f>
        <v>#VALUE!</v>
      </c>
      <c r="F16" t="e">
        <f>[2]!OfficeForms.Table[[#This Row],[Freekicks]]</f>
        <v>#VALUE!</v>
      </c>
      <c r="G16" t="e">
        <f>[2]!OfficeForms.Table[[#This Row],[Yellow Card - Sin Bin]]</f>
        <v>#VALUE!</v>
      </c>
      <c r="H16" t="e">
        <f>[2]!OfficeForms.Table[[#This Row],[Yellow Card]]</f>
        <v>#VALUE!</v>
      </c>
      <c r="I16" t="e">
        <f>[2]!OfficeForms.Table[[#This Row],[Red Card]]</f>
        <v>#VALUE!</v>
      </c>
    </row>
    <row r="17" spans="1:9" x14ac:dyDescent="0.35">
      <c r="A17" t="e">
        <f>[2]!OfficeForms.Table[[#This Row],[Id]]</f>
        <v>#VALUE!</v>
      </c>
      <c r="B17" s="285" t="e">
        <f>[2]!OfficeForms.Table[[#This Row],[Start time]]</f>
        <v>#VALUE!</v>
      </c>
      <c r="C17" t="e">
        <f>[2]!OfficeForms.Table[[#This Row],[Scorers]]</f>
        <v>#VALUE!</v>
      </c>
      <c r="D17" t="e">
        <f>[2]!OfficeForms.Table[[#This Row],[Assists]]</f>
        <v>#VALUE!</v>
      </c>
      <c r="E17" t="e">
        <f>[2]!OfficeForms.Table[[#This Row],[Penalties]]</f>
        <v>#VALUE!</v>
      </c>
      <c r="F17" t="e">
        <f>[2]!OfficeForms.Table[[#This Row],[Freekicks]]</f>
        <v>#VALUE!</v>
      </c>
      <c r="G17" t="e">
        <f>[2]!OfficeForms.Table[[#This Row],[Yellow Card - Sin Bin]]</f>
        <v>#VALUE!</v>
      </c>
      <c r="H17" t="e">
        <f>[2]!OfficeForms.Table[[#This Row],[Yellow Card]]</f>
        <v>#VALUE!</v>
      </c>
      <c r="I17" t="e">
        <f>[2]!OfficeForms.Table[[#This Row],[Red Card]]</f>
        <v>#VALUE!</v>
      </c>
    </row>
    <row r="18" spans="1:9" x14ac:dyDescent="0.35">
      <c r="A18" t="e">
        <f>[2]!OfficeForms.Table[[#This Row],[Id]]</f>
        <v>#VALUE!</v>
      </c>
      <c r="B18" s="285" t="e">
        <f>[2]!OfficeForms.Table[[#This Row],[Start time]]</f>
        <v>#VALUE!</v>
      </c>
      <c r="C18" t="e">
        <f>[2]!OfficeForms.Table[[#This Row],[Scorers]]</f>
        <v>#VALUE!</v>
      </c>
      <c r="D18" t="e">
        <f>[2]!OfficeForms.Table[[#This Row],[Assists]]</f>
        <v>#VALUE!</v>
      </c>
      <c r="E18" t="e">
        <f>[2]!OfficeForms.Table[[#This Row],[Penalties]]</f>
        <v>#VALUE!</v>
      </c>
      <c r="F18" t="e">
        <f>[2]!OfficeForms.Table[[#This Row],[Freekicks]]</f>
        <v>#VALUE!</v>
      </c>
      <c r="G18" t="e">
        <f>[2]!OfficeForms.Table[[#This Row],[Yellow Card - Sin Bin]]</f>
        <v>#VALUE!</v>
      </c>
      <c r="H18" t="e">
        <f>[2]!OfficeForms.Table[[#This Row],[Yellow Card]]</f>
        <v>#VALUE!</v>
      </c>
      <c r="I18" t="e">
        <f>[2]!OfficeForms.Table[[#This Row],[Red Card]]</f>
        <v>#VALUE!</v>
      </c>
    </row>
    <row r="19" spans="1:9" x14ac:dyDescent="0.35">
      <c r="A19" t="e">
        <f>[2]!OfficeForms.Table[[#This Row],[Id]]</f>
        <v>#VALUE!</v>
      </c>
      <c r="B19" s="285" t="e">
        <f>[2]!OfficeForms.Table[[#This Row],[Start time]]</f>
        <v>#VALUE!</v>
      </c>
      <c r="C19" t="e">
        <f>[2]!OfficeForms.Table[[#This Row],[Scorers]]</f>
        <v>#VALUE!</v>
      </c>
      <c r="D19" t="e">
        <f>[2]!OfficeForms.Table[[#This Row],[Assists]]</f>
        <v>#VALUE!</v>
      </c>
      <c r="E19" t="e">
        <f>[2]!OfficeForms.Table[[#This Row],[Penalties]]</f>
        <v>#VALUE!</v>
      </c>
      <c r="F19" t="e">
        <f>[2]!OfficeForms.Table[[#This Row],[Freekicks]]</f>
        <v>#VALUE!</v>
      </c>
      <c r="G19" t="e">
        <f>[2]!OfficeForms.Table[[#This Row],[Yellow Card - Sin Bin]]</f>
        <v>#VALUE!</v>
      </c>
      <c r="H19" t="e">
        <f>[2]!OfficeForms.Table[[#This Row],[Yellow Card]]</f>
        <v>#VALUE!</v>
      </c>
      <c r="I19" t="e">
        <f>[2]!OfficeForms.Table[[#This Row],[Red Card]]</f>
        <v>#VALUE!</v>
      </c>
    </row>
    <row r="20" spans="1:9" x14ac:dyDescent="0.35">
      <c r="A20" t="e">
        <f>[2]!OfficeForms.Table[[#This Row],[Id]]</f>
        <v>#VALUE!</v>
      </c>
      <c r="B20" s="285" t="e">
        <f>[2]!OfficeForms.Table[[#This Row],[Start time]]</f>
        <v>#VALUE!</v>
      </c>
      <c r="C20" t="e">
        <f>[2]!OfficeForms.Table[[#This Row],[Scorers]]</f>
        <v>#VALUE!</v>
      </c>
      <c r="D20" t="e">
        <f>[2]!OfficeForms.Table[[#This Row],[Assists]]</f>
        <v>#VALUE!</v>
      </c>
      <c r="E20" t="e">
        <f>[2]!OfficeForms.Table[[#This Row],[Penalties]]</f>
        <v>#VALUE!</v>
      </c>
      <c r="F20" t="e">
        <f>[2]!OfficeForms.Table[[#This Row],[Freekicks]]</f>
        <v>#VALUE!</v>
      </c>
      <c r="G20" t="e">
        <f>[2]!OfficeForms.Table[[#This Row],[Yellow Card - Sin Bin]]</f>
        <v>#VALUE!</v>
      </c>
      <c r="H20" t="e">
        <f>[2]!OfficeForms.Table[[#This Row],[Yellow Card]]</f>
        <v>#VALUE!</v>
      </c>
      <c r="I20" t="e">
        <f>[2]!OfficeForms.Table[[#This Row],[Red Card]]</f>
        <v>#VALUE!</v>
      </c>
    </row>
    <row r="21" spans="1:9" x14ac:dyDescent="0.35">
      <c r="A21" t="e">
        <f>[2]!OfficeForms.Table[[#This Row],[Id]]</f>
        <v>#VALUE!</v>
      </c>
      <c r="B21" s="285" t="e">
        <f>[2]!OfficeForms.Table[[#This Row],[Start time]]</f>
        <v>#VALUE!</v>
      </c>
      <c r="C21" t="e">
        <f>[2]!OfficeForms.Table[[#This Row],[Scorers]]</f>
        <v>#VALUE!</v>
      </c>
      <c r="D21" t="e">
        <f>[2]!OfficeForms.Table[[#This Row],[Assists]]</f>
        <v>#VALUE!</v>
      </c>
      <c r="E21" t="e">
        <f>[2]!OfficeForms.Table[[#This Row],[Penalties]]</f>
        <v>#VALUE!</v>
      </c>
      <c r="F21" t="e">
        <f>[2]!OfficeForms.Table[[#This Row],[Freekicks]]</f>
        <v>#VALUE!</v>
      </c>
      <c r="G21" t="e">
        <f>[2]!OfficeForms.Table[[#This Row],[Yellow Card - Sin Bin]]</f>
        <v>#VALUE!</v>
      </c>
      <c r="H21" t="e">
        <f>[2]!OfficeForms.Table[[#This Row],[Yellow Card]]</f>
        <v>#VALUE!</v>
      </c>
      <c r="I21" t="e">
        <f>[2]!OfficeForms.Table[[#This Row],[Red Card]]</f>
        <v>#VALUE!</v>
      </c>
    </row>
    <row r="22" spans="1:9" x14ac:dyDescent="0.35">
      <c r="A22" t="e">
        <f>[2]!OfficeForms.Table[[#This Row],[Id]]</f>
        <v>#VALUE!</v>
      </c>
      <c r="B22" s="285" t="e">
        <f>[2]!OfficeForms.Table[[#This Row],[Start time]]</f>
        <v>#VALUE!</v>
      </c>
      <c r="C22" t="e">
        <f>[2]!OfficeForms.Table[[#This Row],[Scorers]]</f>
        <v>#VALUE!</v>
      </c>
      <c r="D22" t="e">
        <f>[2]!OfficeForms.Table[[#This Row],[Assists]]</f>
        <v>#VALUE!</v>
      </c>
      <c r="E22" t="e">
        <f>[2]!OfficeForms.Table[[#This Row],[Penalties]]</f>
        <v>#VALUE!</v>
      </c>
      <c r="F22" t="e">
        <f>[2]!OfficeForms.Table[[#This Row],[Freekicks]]</f>
        <v>#VALUE!</v>
      </c>
      <c r="G22" t="e">
        <f>[2]!OfficeForms.Table[[#This Row],[Yellow Card - Sin Bin]]</f>
        <v>#VALUE!</v>
      </c>
      <c r="H22" t="e">
        <f>[2]!OfficeForms.Table[[#This Row],[Yellow Card]]</f>
        <v>#VALUE!</v>
      </c>
      <c r="I22" t="e">
        <f>[2]!OfficeForms.Table[[#This Row],[Red Card]]</f>
        <v>#VALUE!</v>
      </c>
    </row>
    <row r="23" spans="1:9" x14ac:dyDescent="0.35">
      <c r="A23" t="e">
        <f>[2]!OfficeForms.Table[[#This Row],[Id]]</f>
        <v>#VALUE!</v>
      </c>
      <c r="B23" s="285" t="e">
        <f>[2]!OfficeForms.Table[[#This Row],[Start time]]</f>
        <v>#VALUE!</v>
      </c>
      <c r="C23" t="e">
        <f>[2]!OfficeForms.Table[[#This Row],[Scorers]]</f>
        <v>#VALUE!</v>
      </c>
      <c r="D23" t="e">
        <f>[2]!OfficeForms.Table[[#This Row],[Assists]]</f>
        <v>#VALUE!</v>
      </c>
      <c r="E23" t="e">
        <f>[2]!OfficeForms.Table[[#This Row],[Penalties]]</f>
        <v>#VALUE!</v>
      </c>
      <c r="F23" t="e">
        <f>[2]!OfficeForms.Table[[#This Row],[Freekicks]]</f>
        <v>#VALUE!</v>
      </c>
      <c r="G23" t="e">
        <f>[2]!OfficeForms.Table[[#This Row],[Yellow Card - Sin Bin]]</f>
        <v>#VALUE!</v>
      </c>
      <c r="H23" t="e">
        <f>[2]!OfficeForms.Table[[#This Row],[Yellow Card]]</f>
        <v>#VALUE!</v>
      </c>
      <c r="I23" t="e">
        <f>[2]!OfficeForms.Table[[#This Row],[Red Card]]</f>
        <v>#VALUE!</v>
      </c>
    </row>
    <row r="24" spans="1:9" x14ac:dyDescent="0.35">
      <c r="A24" t="e">
        <f>[2]!OfficeForms.Table[[#This Row],[Id]]</f>
        <v>#VALUE!</v>
      </c>
      <c r="B24" s="285" t="e">
        <f>[2]!OfficeForms.Table[[#This Row],[Start time]]</f>
        <v>#VALUE!</v>
      </c>
      <c r="C24" t="e">
        <f>[2]!OfficeForms.Table[[#This Row],[Scorers]]</f>
        <v>#VALUE!</v>
      </c>
      <c r="D24" t="e">
        <f>[2]!OfficeForms.Table[[#This Row],[Assists]]</f>
        <v>#VALUE!</v>
      </c>
      <c r="E24" t="e">
        <f>[2]!OfficeForms.Table[[#This Row],[Penalties]]</f>
        <v>#VALUE!</v>
      </c>
      <c r="F24" t="e">
        <f>[2]!OfficeForms.Table[[#This Row],[Freekicks]]</f>
        <v>#VALUE!</v>
      </c>
      <c r="G24" t="e">
        <f>[2]!OfficeForms.Table[[#This Row],[Yellow Card - Sin Bin]]</f>
        <v>#VALUE!</v>
      </c>
      <c r="H24" t="e">
        <f>[2]!OfficeForms.Table[[#This Row],[Yellow Card]]</f>
        <v>#VALUE!</v>
      </c>
      <c r="I24" t="e">
        <f>[2]!OfficeForms.Table[[#This Row],[Red Card]]</f>
        <v>#VALUE!</v>
      </c>
    </row>
    <row r="25" spans="1:9" x14ac:dyDescent="0.35">
      <c r="A25" t="e">
        <f>[2]!OfficeForms.Table[[#This Row],[Id]]</f>
        <v>#VALUE!</v>
      </c>
      <c r="B25" s="285" t="e">
        <f>[2]!OfficeForms.Table[[#This Row],[Start time]]</f>
        <v>#VALUE!</v>
      </c>
      <c r="C25" t="e">
        <f>[2]!OfficeForms.Table[[#This Row],[Scorers]]</f>
        <v>#VALUE!</v>
      </c>
      <c r="D25" t="e">
        <f>[2]!OfficeForms.Table[[#This Row],[Assists]]</f>
        <v>#VALUE!</v>
      </c>
      <c r="E25" t="e">
        <f>[2]!OfficeForms.Table[[#This Row],[Penalties]]</f>
        <v>#VALUE!</v>
      </c>
      <c r="F25" t="e">
        <f>[2]!OfficeForms.Table[[#This Row],[Freekicks]]</f>
        <v>#VALUE!</v>
      </c>
      <c r="G25" t="e">
        <f>[2]!OfficeForms.Table[[#This Row],[Yellow Card - Sin Bin]]</f>
        <v>#VALUE!</v>
      </c>
      <c r="H25" t="e">
        <f>[2]!OfficeForms.Table[[#This Row],[Yellow Card]]</f>
        <v>#VALUE!</v>
      </c>
      <c r="I25" t="e">
        <f>[2]!OfficeForms.Table[[#This Row],[Red Card]]</f>
        <v>#VALUE!</v>
      </c>
    </row>
    <row r="26" spans="1:9" x14ac:dyDescent="0.35">
      <c r="A26" t="e">
        <f>[2]!OfficeForms.Table[[#This Row],[Id]]</f>
        <v>#VALUE!</v>
      </c>
      <c r="B26" s="285" t="e">
        <f>[2]!OfficeForms.Table[[#This Row],[Start time]]</f>
        <v>#VALUE!</v>
      </c>
      <c r="C26" t="e">
        <f>[2]!OfficeForms.Table[[#This Row],[Scorers]]</f>
        <v>#VALUE!</v>
      </c>
      <c r="D26" t="e">
        <f>[2]!OfficeForms.Table[[#This Row],[Assists]]</f>
        <v>#VALUE!</v>
      </c>
      <c r="E26" t="e">
        <f>[2]!OfficeForms.Table[[#This Row],[Penalties]]</f>
        <v>#VALUE!</v>
      </c>
      <c r="F26" t="e">
        <f>[2]!OfficeForms.Table[[#This Row],[Freekicks]]</f>
        <v>#VALUE!</v>
      </c>
      <c r="G26" t="e">
        <f>[2]!OfficeForms.Table[[#This Row],[Yellow Card - Sin Bin]]</f>
        <v>#VALUE!</v>
      </c>
      <c r="H26" t="e">
        <f>[2]!OfficeForms.Table[[#This Row],[Yellow Card]]</f>
        <v>#VALUE!</v>
      </c>
      <c r="I26" t="e">
        <f>[2]!OfficeForms.Table[[#This Row],[Red Card]]</f>
        <v>#VALUE!</v>
      </c>
    </row>
    <row r="27" spans="1:9" x14ac:dyDescent="0.35">
      <c r="A27" t="e">
        <f>[2]!OfficeForms.Table[[#This Row],[Id]]</f>
        <v>#VALUE!</v>
      </c>
      <c r="B27" s="285" t="e">
        <f>[2]!OfficeForms.Table[[#This Row],[Start time]]</f>
        <v>#VALUE!</v>
      </c>
      <c r="C27" t="e">
        <f>[2]!OfficeForms.Table[[#This Row],[Scorers]]</f>
        <v>#VALUE!</v>
      </c>
      <c r="D27" t="e">
        <f>[2]!OfficeForms.Table[[#This Row],[Assists]]</f>
        <v>#VALUE!</v>
      </c>
      <c r="E27" t="e">
        <f>[2]!OfficeForms.Table[[#This Row],[Penalties]]</f>
        <v>#VALUE!</v>
      </c>
      <c r="F27" t="e">
        <f>[2]!OfficeForms.Table[[#This Row],[Freekicks]]</f>
        <v>#VALUE!</v>
      </c>
      <c r="G27" t="e">
        <f>[2]!OfficeForms.Table[[#This Row],[Yellow Card - Sin Bin]]</f>
        <v>#VALUE!</v>
      </c>
      <c r="H27" t="e">
        <f>[2]!OfficeForms.Table[[#This Row],[Yellow Card]]</f>
        <v>#VALUE!</v>
      </c>
      <c r="I27" t="e">
        <f>[2]!OfficeForms.Table[[#This Row],[Red Card]]</f>
        <v>#VALUE!</v>
      </c>
    </row>
    <row r="28" spans="1:9" x14ac:dyDescent="0.35">
      <c r="A28" t="e">
        <f>[2]!OfficeForms.Table[[#This Row],[Id]]</f>
        <v>#VALUE!</v>
      </c>
      <c r="B28" s="285" t="e">
        <f>[2]!OfficeForms.Table[[#This Row],[Start time]]</f>
        <v>#VALUE!</v>
      </c>
      <c r="C28" t="e">
        <f>[2]!OfficeForms.Table[[#This Row],[Scorers]]</f>
        <v>#VALUE!</v>
      </c>
      <c r="D28" t="e">
        <f>[2]!OfficeForms.Table[[#This Row],[Assists]]</f>
        <v>#VALUE!</v>
      </c>
      <c r="E28" t="e">
        <f>[2]!OfficeForms.Table[[#This Row],[Penalties]]</f>
        <v>#VALUE!</v>
      </c>
      <c r="F28" t="e">
        <f>[2]!OfficeForms.Table[[#This Row],[Freekicks]]</f>
        <v>#VALUE!</v>
      </c>
      <c r="G28" t="e">
        <f>[2]!OfficeForms.Table[[#This Row],[Yellow Card - Sin Bin]]</f>
        <v>#VALUE!</v>
      </c>
      <c r="H28" t="e">
        <f>[2]!OfficeForms.Table[[#This Row],[Yellow Card]]</f>
        <v>#VALUE!</v>
      </c>
      <c r="I28" t="e">
        <f>[2]!OfficeForms.Table[[#This Row],[Red Card]]</f>
        <v>#VALUE!</v>
      </c>
    </row>
    <row r="29" spans="1:9" x14ac:dyDescent="0.35">
      <c r="A29" t="e">
        <f>[2]!OfficeForms.Table[[#This Row],[Id]]</f>
        <v>#VALUE!</v>
      </c>
      <c r="B29" s="285" t="e">
        <f>[2]!OfficeForms.Table[[#This Row],[Start time]]</f>
        <v>#VALUE!</v>
      </c>
      <c r="C29" t="e">
        <f>[2]!OfficeForms.Table[[#This Row],[Scorers]]</f>
        <v>#VALUE!</v>
      </c>
      <c r="D29" t="e">
        <f>[2]!OfficeForms.Table[[#This Row],[Assists]]</f>
        <v>#VALUE!</v>
      </c>
      <c r="E29" t="e">
        <f>[2]!OfficeForms.Table[[#This Row],[Penalties]]</f>
        <v>#VALUE!</v>
      </c>
      <c r="F29" t="e">
        <f>[2]!OfficeForms.Table[[#This Row],[Freekicks]]</f>
        <v>#VALUE!</v>
      </c>
      <c r="G29" t="e">
        <f>[2]!OfficeForms.Table[[#This Row],[Yellow Card - Sin Bin]]</f>
        <v>#VALUE!</v>
      </c>
      <c r="H29" t="e">
        <f>[2]!OfficeForms.Table[[#This Row],[Yellow Card]]</f>
        <v>#VALUE!</v>
      </c>
      <c r="I29" t="e">
        <f>[2]!OfficeForms.Table[[#This Row],[Red Card]]</f>
        <v>#VALUE!</v>
      </c>
    </row>
    <row r="30" spans="1:9" x14ac:dyDescent="0.35">
      <c r="A30" t="e">
        <f>[2]!OfficeForms.Table[[#This Row],[Id]]</f>
        <v>#VALUE!</v>
      </c>
      <c r="B30" s="285" t="e">
        <f>[2]!OfficeForms.Table[[#This Row],[Start time]]</f>
        <v>#VALUE!</v>
      </c>
      <c r="C30" t="e">
        <f>[2]!OfficeForms.Table[[#This Row],[Scorers]]</f>
        <v>#VALUE!</v>
      </c>
      <c r="D30" t="e">
        <f>[2]!OfficeForms.Table[[#This Row],[Assists]]</f>
        <v>#VALUE!</v>
      </c>
      <c r="E30" t="e">
        <f>[2]!OfficeForms.Table[[#This Row],[Penalties]]</f>
        <v>#VALUE!</v>
      </c>
      <c r="F30" t="e">
        <f>[2]!OfficeForms.Table[[#This Row],[Freekicks]]</f>
        <v>#VALUE!</v>
      </c>
      <c r="G30" t="e">
        <f>[2]!OfficeForms.Table[[#This Row],[Yellow Card - Sin Bin]]</f>
        <v>#VALUE!</v>
      </c>
      <c r="H30" t="e">
        <f>[2]!OfficeForms.Table[[#This Row],[Yellow Card]]</f>
        <v>#VALUE!</v>
      </c>
      <c r="I30" t="e">
        <f>[2]!OfficeForms.Table[[#This Row],[Red Card]]</f>
        <v>#VALUE!</v>
      </c>
    </row>
    <row r="31" spans="1:9" x14ac:dyDescent="0.35">
      <c r="A31" t="e">
        <f>[2]!OfficeForms.Table[[#This Row],[Id]]</f>
        <v>#VALUE!</v>
      </c>
      <c r="B31" s="285" t="e">
        <f>[2]!OfficeForms.Table[[#This Row],[Start time]]</f>
        <v>#VALUE!</v>
      </c>
      <c r="C31" t="e">
        <f>[2]!OfficeForms.Table[[#This Row],[Scorers]]</f>
        <v>#VALUE!</v>
      </c>
      <c r="D31" t="e">
        <f>[2]!OfficeForms.Table[[#This Row],[Assists]]</f>
        <v>#VALUE!</v>
      </c>
      <c r="E31" t="e">
        <f>[2]!OfficeForms.Table[[#This Row],[Penalties]]</f>
        <v>#VALUE!</v>
      </c>
      <c r="F31" t="e">
        <f>[2]!OfficeForms.Table[[#This Row],[Freekicks]]</f>
        <v>#VALUE!</v>
      </c>
      <c r="G31" t="e">
        <f>[2]!OfficeForms.Table[[#This Row],[Yellow Card - Sin Bin]]</f>
        <v>#VALUE!</v>
      </c>
      <c r="H31" t="e">
        <f>[2]!OfficeForms.Table[[#This Row],[Yellow Card]]</f>
        <v>#VALUE!</v>
      </c>
      <c r="I31" t="e">
        <f>[2]!OfficeForms.Table[[#This Row],[Red Card]]</f>
        <v>#VALUE!</v>
      </c>
    </row>
    <row r="32" spans="1:9" x14ac:dyDescent="0.35">
      <c r="A32" t="e">
        <f>[2]!OfficeForms.Table[[#This Row],[Id]]</f>
        <v>#VALUE!</v>
      </c>
      <c r="B32" s="285" t="e">
        <f>[2]!OfficeForms.Table[[#This Row],[Start time]]</f>
        <v>#VALUE!</v>
      </c>
      <c r="C32" t="e">
        <f>[2]!OfficeForms.Table[[#This Row],[Scorers]]</f>
        <v>#VALUE!</v>
      </c>
      <c r="D32" t="e">
        <f>[2]!OfficeForms.Table[[#This Row],[Assists]]</f>
        <v>#VALUE!</v>
      </c>
      <c r="E32" t="e">
        <f>[2]!OfficeForms.Table[[#This Row],[Penalties]]</f>
        <v>#VALUE!</v>
      </c>
      <c r="F32" t="e">
        <f>[2]!OfficeForms.Table[[#This Row],[Freekicks]]</f>
        <v>#VALUE!</v>
      </c>
      <c r="G32" t="e">
        <f>[2]!OfficeForms.Table[[#This Row],[Yellow Card - Sin Bin]]</f>
        <v>#VALUE!</v>
      </c>
      <c r="H32" t="e">
        <f>[2]!OfficeForms.Table[[#This Row],[Yellow Card]]</f>
        <v>#VALUE!</v>
      </c>
      <c r="I32" t="e">
        <f>[2]!OfficeForms.Table[[#This Row],[Red Card]]</f>
        <v>#VALUE!</v>
      </c>
    </row>
    <row r="33" spans="1:9" x14ac:dyDescent="0.35">
      <c r="A33" t="e">
        <f>[2]!OfficeForms.Table[[#This Row],[Id]]</f>
        <v>#VALUE!</v>
      </c>
      <c r="B33" s="285" t="e">
        <f>[2]!OfficeForms.Table[[#This Row],[Start time]]</f>
        <v>#VALUE!</v>
      </c>
      <c r="C33" t="e">
        <f>[2]!OfficeForms.Table[[#This Row],[Scorers]]</f>
        <v>#VALUE!</v>
      </c>
      <c r="D33" t="e">
        <f>[2]!OfficeForms.Table[[#This Row],[Assists]]</f>
        <v>#VALUE!</v>
      </c>
      <c r="E33" t="e">
        <f>[2]!OfficeForms.Table[[#This Row],[Penalties]]</f>
        <v>#VALUE!</v>
      </c>
      <c r="F33" t="e">
        <f>[2]!OfficeForms.Table[[#This Row],[Freekicks]]</f>
        <v>#VALUE!</v>
      </c>
      <c r="G33" t="e">
        <f>[2]!OfficeForms.Table[[#This Row],[Yellow Card - Sin Bin]]</f>
        <v>#VALUE!</v>
      </c>
      <c r="H33" t="e">
        <f>[2]!OfficeForms.Table[[#This Row],[Yellow Card]]</f>
        <v>#VALUE!</v>
      </c>
      <c r="I33" t="e">
        <f>[2]!OfficeForms.Table[[#This Row],[Red Card]]</f>
        <v>#VALUE!</v>
      </c>
    </row>
    <row r="34" spans="1:9" x14ac:dyDescent="0.35">
      <c r="A34" t="e">
        <f>[2]!OfficeForms.Table[[#This Row],[Id]]</f>
        <v>#VALUE!</v>
      </c>
      <c r="B34" s="285" t="e">
        <f>[2]!OfficeForms.Table[[#This Row],[Start time]]</f>
        <v>#VALUE!</v>
      </c>
      <c r="C34" t="e">
        <f>[2]!OfficeForms.Table[[#This Row],[Scorers]]</f>
        <v>#VALUE!</v>
      </c>
      <c r="D34" t="e">
        <f>[2]!OfficeForms.Table[[#This Row],[Assists]]</f>
        <v>#VALUE!</v>
      </c>
      <c r="E34" t="e">
        <f>[2]!OfficeForms.Table[[#This Row],[Penalties]]</f>
        <v>#VALUE!</v>
      </c>
      <c r="F34" t="e">
        <f>[2]!OfficeForms.Table[[#This Row],[Freekicks]]</f>
        <v>#VALUE!</v>
      </c>
      <c r="G34" t="e">
        <f>[2]!OfficeForms.Table[[#This Row],[Yellow Card - Sin Bin]]</f>
        <v>#VALUE!</v>
      </c>
      <c r="H34" t="e">
        <f>[2]!OfficeForms.Table[[#This Row],[Yellow Card]]</f>
        <v>#VALUE!</v>
      </c>
      <c r="I34" t="e">
        <f>[2]!OfficeForms.Table[[#This Row],[Red Card]]</f>
        <v>#VALUE!</v>
      </c>
    </row>
    <row r="35" spans="1:9" x14ac:dyDescent="0.35">
      <c r="A35" t="e">
        <f>[2]!OfficeForms.Table[[#This Row],[Id]]</f>
        <v>#VALUE!</v>
      </c>
      <c r="B35" s="285" t="e">
        <f>[2]!OfficeForms.Table[[#This Row],[Start time]]</f>
        <v>#VALUE!</v>
      </c>
      <c r="C35" t="e">
        <f>[2]!OfficeForms.Table[[#This Row],[Scorers]]</f>
        <v>#VALUE!</v>
      </c>
      <c r="D35" t="e">
        <f>[2]!OfficeForms.Table[[#This Row],[Assists]]</f>
        <v>#VALUE!</v>
      </c>
      <c r="E35" t="e">
        <f>[2]!OfficeForms.Table[[#This Row],[Penalties]]</f>
        <v>#VALUE!</v>
      </c>
      <c r="F35" t="e">
        <f>[2]!OfficeForms.Table[[#This Row],[Freekicks]]</f>
        <v>#VALUE!</v>
      </c>
      <c r="G35" t="e">
        <f>[2]!OfficeForms.Table[[#This Row],[Yellow Card - Sin Bin]]</f>
        <v>#VALUE!</v>
      </c>
      <c r="H35" t="e">
        <f>[2]!OfficeForms.Table[[#This Row],[Yellow Card]]</f>
        <v>#VALUE!</v>
      </c>
      <c r="I35" t="e">
        <f>[2]!OfficeForms.Table[[#This Row],[Red Card]]</f>
        <v>#VALUE!</v>
      </c>
    </row>
    <row r="36" spans="1:9" x14ac:dyDescent="0.35">
      <c r="A36" t="e">
        <f>[2]!OfficeForms.Table[[#This Row],[Id]]</f>
        <v>#VALUE!</v>
      </c>
      <c r="B36" s="285" t="e">
        <f>[2]!OfficeForms.Table[[#This Row],[Start time]]</f>
        <v>#VALUE!</v>
      </c>
      <c r="C36" t="e">
        <f>[2]!OfficeForms.Table[[#This Row],[Scorers]]</f>
        <v>#VALUE!</v>
      </c>
      <c r="D36" t="e">
        <f>[2]!OfficeForms.Table[[#This Row],[Assists]]</f>
        <v>#VALUE!</v>
      </c>
      <c r="E36" t="e">
        <f>[2]!OfficeForms.Table[[#This Row],[Penalties]]</f>
        <v>#VALUE!</v>
      </c>
      <c r="F36" t="e">
        <f>[2]!OfficeForms.Table[[#This Row],[Freekicks]]</f>
        <v>#VALUE!</v>
      </c>
      <c r="G36" t="e">
        <f>[2]!OfficeForms.Table[[#This Row],[Yellow Card - Sin Bin]]</f>
        <v>#VALUE!</v>
      </c>
      <c r="H36" t="e">
        <f>[2]!OfficeForms.Table[[#This Row],[Yellow Card]]</f>
        <v>#VALUE!</v>
      </c>
      <c r="I36" t="e">
        <f>[2]!OfficeForms.Table[[#This Row],[Red Card]]</f>
        <v>#VALUE!</v>
      </c>
    </row>
    <row r="37" spans="1:9" x14ac:dyDescent="0.35">
      <c r="A37" t="e">
        <f>[2]!OfficeForms.Table[[#This Row],[Id]]</f>
        <v>#VALUE!</v>
      </c>
      <c r="B37" s="285" t="e">
        <f>[2]!OfficeForms.Table[[#This Row],[Start time]]</f>
        <v>#VALUE!</v>
      </c>
      <c r="C37" t="e">
        <f>[2]!OfficeForms.Table[[#This Row],[Scorers]]</f>
        <v>#VALUE!</v>
      </c>
      <c r="D37" t="e">
        <f>[2]!OfficeForms.Table[[#This Row],[Assists]]</f>
        <v>#VALUE!</v>
      </c>
      <c r="E37" t="e">
        <f>[2]!OfficeForms.Table[[#This Row],[Penalties]]</f>
        <v>#VALUE!</v>
      </c>
      <c r="F37" t="e">
        <f>[2]!OfficeForms.Table[[#This Row],[Freekicks]]</f>
        <v>#VALUE!</v>
      </c>
      <c r="G37" t="e">
        <f>[2]!OfficeForms.Table[[#This Row],[Yellow Card - Sin Bin]]</f>
        <v>#VALUE!</v>
      </c>
      <c r="H37" t="e">
        <f>[2]!OfficeForms.Table[[#This Row],[Yellow Card]]</f>
        <v>#VALUE!</v>
      </c>
      <c r="I37" t="e">
        <f>[2]!OfficeForms.Table[[#This Row],[Red Card]]</f>
        <v>#VALUE!</v>
      </c>
    </row>
    <row r="38" spans="1:9" x14ac:dyDescent="0.35">
      <c r="A38" t="e">
        <f>[2]!OfficeForms.Table[[#This Row],[Id]]</f>
        <v>#VALUE!</v>
      </c>
      <c r="B38" s="285" t="e">
        <f>[2]!OfficeForms.Table[[#This Row],[Start time]]</f>
        <v>#VALUE!</v>
      </c>
      <c r="C38" t="e">
        <f>[2]!OfficeForms.Table[[#This Row],[Scorers]]</f>
        <v>#VALUE!</v>
      </c>
      <c r="D38" t="e">
        <f>[2]!OfficeForms.Table[[#This Row],[Assists]]</f>
        <v>#VALUE!</v>
      </c>
      <c r="E38" t="e">
        <f>[2]!OfficeForms.Table[[#This Row],[Penalties]]</f>
        <v>#VALUE!</v>
      </c>
      <c r="F38" t="e">
        <f>[2]!OfficeForms.Table[[#This Row],[Freekicks]]</f>
        <v>#VALUE!</v>
      </c>
      <c r="G38" t="e">
        <f>[2]!OfficeForms.Table[[#This Row],[Yellow Card - Sin Bin]]</f>
        <v>#VALUE!</v>
      </c>
      <c r="H38" t="e">
        <f>[2]!OfficeForms.Table[[#This Row],[Yellow Card]]</f>
        <v>#VALUE!</v>
      </c>
      <c r="I38" t="e">
        <f>[2]!OfficeForms.Table[[#This Row],[Red Card]]</f>
        <v>#VALUE!</v>
      </c>
    </row>
    <row r="39" spans="1:9" x14ac:dyDescent="0.35">
      <c r="A39" t="e">
        <f>[2]!OfficeForms.Table[[#This Row],[Id]]</f>
        <v>#VALUE!</v>
      </c>
      <c r="B39" s="285" t="e">
        <f>[2]!OfficeForms.Table[[#This Row],[Start time]]</f>
        <v>#VALUE!</v>
      </c>
      <c r="C39" t="e">
        <f>[2]!OfficeForms.Table[[#This Row],[Scorers]]</f>
        <v>#VALUE!</v>
      </c>
      <c r="D39" t="e">
        <f>[2]!OfficeForms.Table[[#This Row],[Assists]]</f>
        <v>#VALUE!</v>
      </c>
      <c r="E39" t="e">
        <f>[2]!OfficeForms.Table[[#This Row],[Penalties]]</f>
        <v>#VALUE!</v>
      </c>
      <c r="F39" t="e">
        <f>[2]!OfficeForms.Table[[#This Row],[Freekicks]]</f>
        <v>#VALUE!</v>
      </c>
      <c r="G39" t="e">
        <f>[2]!OfficeForms.Table[[#This Row],[Yellow Card - Sin Bin]]</f>
        <v>#VALUE!</v>
      </c>
      <c r="H39" t="e">
        <f>[2]!OfficeForms.Table[[#This Row],[Yellow Card]]</f>
        <v>#VALUE!</v>
      </c>
      <c r="I39" t="e">
        <f>[2]!OfficeForms.Table[[#This Row],[Red Card]]</f>
        <v>#VALUE!</v>
      </c>
    </row>
    <row r="40" spans="1:9" x14ac:dyDescent="0.35">
      <c r="A40" t="e">
        <f>[2]!OfficeForms.Table[[#This Row],[Id]]</f>
        <v>#VALUE!</v>
      </c>
      <c r="B40" s="285" t="e">
        <f>[2]!OfficeForms.Table[[#This Row],[Start time]]</f>
        <v>#VALUE!</v>
      </c>
      <c r="C40" t="e">
        <f>[2]!OfficeForms.Table[[#This Row],[Scorers]]</f>
        <v>#VALUE!</v>
      </c>
      <c r="D40" t="e">
        <f>[2]!OfficeForms.Table[[#This Row],[Assists]]</f>
        <v>#VALUE!</v>
      </c>
      <c r="E40" t="e">
        <f>[2]!OfficeForms.Table[[#This Row],[Penalties]]</f>
        <v>#VALUE!</v>
      </c>
      <c r="F40" t="e">
        <f>[2]!OfficeForms.Table[[#This Row],[Freekicks]]</f>
        <v>#VALUE!</v>
      </c>
      <c r="G40" t="e">
        <f>[2]!OfficeForms.Table[[#This Row],[Yellow Card - Sin Bin]]</f>
        <v>#VALUE!</v>
      </c>
      <c r="H40" t="e">
        <f>[2]!OfficeForms.Table[[#This Row],[Yellow Card]]</f>
        <v>#VALUE!</v>
      </c>
      <c r="I40" t="e">
        <f>[2]!OfficeForms.Table[[#This Row],[Red Card]]</f>
        <v>#VALUE!</v>
      </c>
    </row>
    <row r="41" spans="1:9" x14ac:dyDescent="0.35">
      <c r="A41" t="e">
        <f>[2]!OfficeForms.Table[[#This Row],[Id]]</f>
        <v>#VALUE!</v>
      </c>
      <c r="B41" s="285" t="e">
        <f>[2]!OfficeForms.Table[[#This Row],[Start time]]</f>
        <v>#VALUE!</v>
      </c>
      <c r="C41" t="e">
        <f>[2]!OfficeForms.Table[[#This Row],[Scorers]]</f>
        <v>#VALUE!</v>
      </c>
      <c r="D41" t="e">
        <f>[2]!OfficeForms.Table[[#This Row],[Assists]]</f>
        <v>#VALUE!</v>
      </c>
      <c r="E41" t="e">
        <f>[2]!OfficeForms.Table[[#This Row],[Penalties]]</f>
        <v>#VALUE!</v>
      </c>
      <c r="F41" t="e">
        <f>[2]!OfficeForms.Table[[#This Row],[Freekicks]]</f>
        <v>#VALUE!</v>
      </c>
      <c r="G41" t="e">
        <f>[2]!OfficeForms.Table[[#This Row],[Yellow Card - Sin Bin]]</f>
        <v>#VALUE!</v>
      </c>
      <c r="H41" t="e">
        <f>[2]!OfficeForms.Table[[#This Row],[Yellow Card]]</f>
        <v>#VALUE!</v>
      </c>
      <c r="I41" t="e">
        <f>[2]!OfficeForms.Table[[#This Row],[Red Card]]</f>
        <v>#VALUE!</v>
      </c>
    </row>
    <row r="42" spans="1:9" x14ac:dyDescent="0.35">
      <c r="A42" t="e">
        <f>[2]!OfficeForms.Table[[#This Row],[Id]]</f>
        <v>#VALUE!</v>
      </c>
      <c r="B42" s="285" t="e">
        <f>[2]!OfficeForms.Table[[#This Row],[Start time]]</f>
        <v>#VALUE!</v>
      </c>
      <c r="C42" t="e">
        <f>[2]!OfficeForms.Table[[#This Row],[Scorers]]</f>
        <v>#VALUE!</v>
      </c>
      <c r="D42" t="e">
        <f>[2]!OfficeForms.Table[[#This Row],[Assists]]</f>
        <v>#VALUE!</v>
      </c>
      <c r="E42" t="e">
        <f>[2]!OfficeForms.Table[[#This Row],[Penalties]]</f>
        <v>#VALUE!</v>
      </c>
      <c r="F42" t="e">
        <f>[2]!OfficeForms.Table[[#This Row],[Freekicks]]</f>
        <v>#VALUE!</v>
      </c>
      <c r="G42" t="e">
        <f>[2]!OfficeForms.Table[[#This Row],[Yellow Card - Sin Bin]]</f>
        <v>#VALUE!</v>
      </c>
      <c r="H42" t="e">
        <f>[2]!OfficeForms.Table[[#This Row],[Yellow Card]]</f>
        <v>#VALUE!</v>
      </c>
      <c r="I42" t="e">
        <f>[2]!OfficeForms.Table[[#This Row],[Red Card]]</f>
        <v>#VALUE!</v>
      </c>
    </row>
    <row r="43" spans="1:9" x14ac:dyDescent="0.35">
      <c r="A43" t="e">
        <f>[2]!OfficeForms.Table[[#This Row],[Id]]</f>
        <v>#VALUE!</v>
      </c>
      <c r="B43" s="285" t="e">
        <f>[2]!OfficeForms.Table[[#This Row],[Start time]]</f>
        <v>#VALUE!</v>
      </c>
      <c r="C43" t="e">
        <f>[2]!OfficeForms.Table[[#This Row],[Scorers]]</f>
        <v>#VALUE!</v>
      </c>
      <c r="D43" t="e">
        <f>[2]!OfficeForms.Table[[#This Row],[Assists]]</f>
        <v>#VALUE!</v>
      </c>
      <c r="E43" t="e">
        <f>[2]!OfficeForms.Table[[#This Row],[Penalties]]</f>
        <v>#VALUE!</v>
      </c>
      <c r="F43" t="e">
        <f>[2]!OfficeForms.Table[[#This Row],[Freekicks]]</f>
        <v>#VALUE!</v>
      </c>
      <c r="G43" t="e">
        <f>[2]!OfficeForms.Table[[#This Row],[Yellow Card - Sin Bin]]</f>
        <v>#VALUE!</v>
      </c>
      <c r="H43" t="e">
        <f>[2]!OfficeForms.Table[[#This Row],[Yellow Card]]</f>
        <v>#VALUE!</v>
      </c>
      <c r="I43" t="e">
        <f>[2]!OfficeForms.Table[[#This Row],[Red Card]]</f>
        <v>#VALUE!</v>
      </c>
    </row>
    <row r="44" spans="1:9" x14ac:dyDescent="0.35">
      <c r="A44" t="e">
        <f>[2]!OfficeForms.Table[[#This Row],[Id]]</f>
        <v>#VALUE!</v>
      </c>
      <c r="B44" s="285" t="e">
        <f>[2]!OfficeForms.Table[[#This Row],[Start time]]</f>
        <v>#VALUE!</v>
      </c>
      <c r="C44" t="e">
        <f>[2]!OfficeForms.Table[[#This Row],[Scorers]]</f>
        <v>#VALUE!</v>
      </c>
      <c r="D44" t="e">
        <f>[2]!OfficeForms.Table[[#This Row],[Assists]]</f>
        <v>#VALUE!</v>
      </c>
      <c r="E44" t="e">
        <f>[2]!OfficeForms.Table[[#This Row],[Penalties]]</f>
        <v>#VALUE!</v>
      </c>
      <c r="F44" t="e">
        <f>[2]!OfficeForms.Table[[#This Row],[Freekicks]]</f>
        <v>#VALUE!</v>
      </c>
      <c r="G44" t="e">
        <f>[2]!OfficeForms.Table[[#This Row],[Yellow Card - Sin Bin]]</f>
        <v>#VALUE!</v>
      </c>
      <c r="H44" t="e">
        <f>[2]!OfficeForms.Table[[#This Row],[Yellow Card]]</f>
        <v>#VALUE!</v>
      </c>
      <c r="I44" t="e">
        <f>[2]!OfficeForms.Table[[#This Row],[Red Card]]</f>
        <v>#VALUE!</v>
      </c>
    </row>
    <row r="45" spans="1:9" x14ac:dyDescent="0.35">
      <c r="A45" t="e">
        <f>[2]!OfficeForms.Table[[#This Row],[Id]]</f>
        <v>#VALUE!</v>
      </c>
      <c r="B45" s="285" t="e">
        <f>[2]!OfficeForms.Table[[#This Row],[Start time]]</f>
        <v>#VALUE!</v>
      </c>
      <c r="C45" t="e">
        <f>[2]!OfficeForms.Table[[#This Row],[Scorers]]</f>
        <v>#VALUE!</v>
      </c>
      <c r="D45" t="e">
        <f>[2]!OfficeForms.Table[[#This Row],[Assists]]</f>
        <v>#VALUE!</v>
      </c>
      <c r="E45" t="e">
        <f>[2]!OfficeForms.Table[[#This Row],[Penalties]]</f>
        <v>#VALUE!</v>
      </c>
      <c r="F45" t="e">
        <f>[2]!OfficeForms.Table[[#This Row],[Freekicks]]</f>
        <v>#VALUE!</v>
      </c>
      <c r="G45" t="e">
        <f>[2]!OfficeForms.Table[[#This Row],[Yellow Card - Sin Bin]]</f>
        <v>#VALUE!</v>
      </c>
      <c r="H45" t="e">
        <f>[2]!OfficeForms.Table[[#This Row],[Yellow Card]]</f>
        <v>#VALUE!</v>
      </c>
      <c r="I45" t="e">
        <f>[2]!OfficeForms.Table[[#This Row],[Red Card]]</f>
        <v>#VALUE!</v>
      </c>
    </row>
    <row r="46" spans="1:9" x14ac:dyDescent="0.35">
      <c r="A46" t="e">
        <f>[2]!OfficeForms.Table[[#This Row],[Id]]</f>
        <v>#VALUE!</v>
      </c>
      <c r="B46" s="285" t="e">
        <f>[2]!OfficeForms.Table[[#This Row],[Start time]]</f>
        <v>#VALUE!</v>
      </c>
      <c r="C46" t="e">
        <f>[2]!OfficeForms.Table[[#This Row],[Scorers]]</f>
        <v>#VALUE!</v>
      </c>
      <c r="D46" t="e">
        <f>[2]!OfficeForms.Table[[#This Row],[Assists]]</f>
        <v>#VALUE!</v>
      </c>
      <c r="E46" t="e">
        <f>[2]!OfficeForms.Table[[#This Row],[Penalties]]</f>
        <v>#VALUE!</v>
      </c>
      <c r="F46" t="e">
        <f>[2]!OfficeForms.Table[[#This Row],[Freekicks]]</f>
        <v>#VALUE!</v>
      </c>
      <c r="G46" t="e">
        <f>[2]!OfficeForms.Table[[#This Row],[Yellow Card - Sin Bin]]</f>
        <v>#VALUE!</v>
      </c>
      <c r="H46" t="e">
        <f>[2]!OfficeForms.Table[[#This Row],[Yellow Card]]</f>
        <v>#VALUE!</v>
      </c>
      <c r="I46" t="e">
        <f>[2]!OfficeForms.Table[[#This Row],[Red Card]]</f>
        <v>#VALUE!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EFBF-E43D-B94F-98CA-42324B44842A}">
  <sheetPr>
    <tabColor theme="8"/>
  </sheetPr>
  <dimension ref="A1:N45"/>
  <sheetViews>
    <sheetView zoomScaleNormal="100" zoomScaleSheetLayoutView="100" workbookViewId="0">
      <pane ySplit="1" topLeftCell="A2" activePane="bottomLeft" state="frozen"/>
      <selection activeCell="B1" sqref="B1"/>
      <selection pane="bottomLeft" activeCell="M48" sqref="M48"/>
    </sheetView>
  </sheetViews>
  <sheetFormatPr defaultColWidth="8.90625" defaultRowHeight="15.5" x14ac:dyDescent="0.35"/>
  <cols>
    <col min="1" max="1" width="21.08984375" style="93" customWidth="1"/>
    <col min="2" max="13" width="10.7265625" style="93" customWidth="1"/>
    <col min="14" max="16384" width="8.90625" style="93"/>
  </cols>
  <sheetData>
    <row r="1" spans="1:14" s="144" customFormat="1" ht="42" customHeight="1" x14ac:dyDescent="0.35">
      <c r="A1" s="139" t="s">
        <v>1</v>
      </c>
      <c r="B1" s="140" t="s">
        <v>150</v>
      </c>
      <c r="C1" s="140" t="s">
        <v>2</v>
      </c>
      <c r="D1" s="140" t="s">
        <v>3</v>
      </c>
      <c r="E1" s="140" t="s">
        <v>4</v>
      </c>
      <c r="F1" s="140" t="s">
        <v>5</v>
      </c>
      <c r="G1" s="140" t="s">
        <v>6</v>
      </c>
      <c r="H1" s="140" t="s">
        <v>7</v>
      </c>
      <c r="I1" s="140" t="s">
        <v>8</v>
      </c>
      <c r="J1" s="140" t="s">
        <v>9</v>
      </c>
      <c r="K1" s="141" t="s">
        <v>10</v>
      </c>
      <c r="L1" s="142" t="s">
        <v>135</v>
      </c>
      <c r="M1" s="143" t="s">
        <v>136</v>
      </c>
    </row>
    <row r="2" spans="1:14" x14ac:dyDescent="0.35">
      <c r="A2" s="145" t="str">
        <f>Squad!A2</f>
        <v>Alf Morris</v>
      </c>
      <c r="B2" s="133"/>
      <c r="C2" s="133"/>
      <c r="D2" s="133"/>
      <c r="E2" s="133"/>
      <c r="F2" s="133"/>
      <c r="G2" s="133"/>
      <c r="H2" s="133"/>
      <c r="I2" s="133"/>
      <c r="J2" s="133"/>
      <c r="K2" s="134"/>
      <c r="L2" s="146"/>
      <c r="M2" s="147"/>
    </row>
    <row r="3" spans="1:14" x14ac:dyDescent="0.35">
      <c r="A3" s="145" t="str">
        <f>Squad!A3</f>
        <v>Alfie Ferrari</v>
      </c>
      <c r="B3" s="133"/>
      <c r="C3" s="133"/>
      <c r="D3" s="133"/>
      <c r="E3" s="133"/>
      <c r="F3" s="133"/>
      <c r="G3" s="133"/>
      <c r="H3" s="133"/>
      <c r="I3" s="133"/>
      <c r="J3" s="133"/>
      <c r="K3" s="134"/>
      <c r="L3" s="133"/>
      <c r="M3" s="134"/>
    </row>
    <row r="4" spans="1:14" x14ac:dyDescent="0.35">
      <c r="A4" s="145" t="str">
        <f>Squad!A4</f>
        <v>Bailey Smith</v>
      </c>
      <c r="B4" s="133"/>
      <c r="C4" s="133"/>
      <c r="D4" s="133"/>
      <c r="E4" s="133"/>
      <c r="F4" s="133"/>
      <c r="G4" s="133"/>
      <c r="H4" s="133"/>
      <c r="I4" s="133"/>
      <c r="J4" s="133"/>
      <c r="K4" s="134"/>
      <c r="L4" s="133"/>
      <c r="M4" s="134"/>
    </row>
    <row r="5" spans="1:14" x14ac:dyDescent="0.35">
      <c r="A5" s="145" t="str">
        <f>Squad!A5</f>
        <v>Brad Eccott</v>
      </c>
      <c r="B5" s="133"/>
      <c r="C5" s="133"/>
      <c r="D5" s="133"/>
      <c r="E5" s="133"/>
      <c r="F5" s="133"/>
      <c r="G5" s="133"/>
      <c r="H5" s="133"/>
      <c r="I5" s="133"/>
      <c r="J5" s="133"/>
      <c r="K5" s="134"/>
      <c r="L5" s="133"/>
      <c r="M5" s="134"/>
    </row>
    <row r="6" spans="1:14" x14ac:dyDescent="0.35">
      <c r="A6" s="145" t="str">
        <f>Squad!A6</f>
        <v>Callum Cripps</v>
      </c>
      <c r="B6" s="133"/>
      <c r="C6" s="133"/>
      <c r="D6" s="133"/>
      <c r="E6" s="133"/>
      <c r="F6" s="133"/>
      <c r="G6" s="133"/>
      <c r="H6" s="133"/>
      <c r="I6" s="133"/>
      <c r="J6" s="133"/>
      <c r="K6" s="134"/>
      <c r="L6" s="133"/>
      <c r="M6" s="134"/>
    </row>
    <row r="7" spans="1:14" x14ac:dyDescent="0.35">
      <c r="A7" s="145" t="str">
        <f>Squad!A7</f>
        <v>Danny Grace</v>
      </c>
      <c r="B7" s="133"/>
      <c r="C7" s="133"/>
      <c r="D7" s="133"/>
      <c r="E7" s="133"/>
      <c r="F7" s="133"/>
      <c r="G7" s="133"/>
      <c r="H7" s="133"/>
      <c r="I7" s="133"/>
      <c r="J7" s="133"/>
      <c r="K7" s="134"/>
      <c r="L7" s="133"/>
      <c r="M7" s="134"/>
    </row>
    <row r="8" spans="1:14" x14ac:dyDescent="0.35">
      <c r="A8" s="145" t="str">
        <f>Squad!A8</f>
        <v>Ethan</v>
      </c>
      <c r="B8" s="133"/>
      <c r="C8" s="133"/>
      <c r="D8" s="133"/>
      <c r="E8" s="133"/>
      <c r="F8" s="133"/>
      <c r="G8" s="133"/>
      <c r="H8" s="133"/>
      <c r="I8" s="133"/>
      <c r="J8" s="133"/>
      <c r="K8" s="134"/>
      <c r="L8" s="133"/>
      <c r="M8" s="134"/>
    </row>
    <row r="9" spans="1:14" ht="16" thickBot="1" x14ac:dyDescent="0.4">
      <c r="A9" s="145" t="str">
        <f>Squad!A9</f>
        <v>Freddie</v>
      </c>
      <c r="B9" s="133"/>
      <c r="C9" s="133"/>
      <c r="D9" s="133"/>
      <c r="E9" s="133"/>
      <c r="F9" s="133"/>
      <c r="G9" s="133"/>
      <c r="H9" s="133"/>
      <c r="I9" s="133"/>
      <c r="J9" s="133"/>
      <c r="K9" s="134"/>
      <c r="L9" s="133"/>
      <c r="M9" s="134"/>
    </row>
    <row r="10" spans="1:14" ht="16" thickBot="1" x14ac:dyDescent="0.4">
      <c r="A10" s="145" t="str">
        <f>Squad!A10</f>
        <v>George Hickson</v>
      </c>
      <c r="B10" s="133"/>
      <c r="C10" s="133"/>
      <c r="D10" s="133"/>
      <c r="E10" s="133"/>
      <c r="F10" s="133"/>
      <c r="G10" s="133"/>
      <c r="H10" s="133"/>
      <c r="I10" s="133"/>
      <c r="J10" s="133"/>
      <c r="K10" s="134"/>
      <c r="L10" s="133"/>
      <c r="M10" s="134"/>
      <c r="N10" s="148"/>
    </row>
    <row r="11" spans="1:14" x14ac:dyDescent="0.35">
      <c r="A11" s="145" t="str">
        <f>Squad!A11</f>
        <v>Jamie Selby</v>
      </c>
      <c r="B11" s="133"/>
      <c r="C11" s="133"/>
      <c r="D11" s="133"/>
      <c r="E11" s="133"/>
      <c r="F11" s="133"/>
      <c r="G11" s="133"/>
      <c r="H11" s="133"/>
      <c r="I11" s="133"/>
      <c r="J11" s="133"/>
      <c r="K11" s="134"/>
      <c r="L11" s="133"/>
      <c r="M11" s="134"/>
    </row>
    <row r="12" spans="1:14" x14ac:dyDescent="0.35">
      <c r="A12" s="145" t="str">
        <f>Squad!A12</f>
        <v>Jay Penniall</v>
      </c>
      <c r="B12" s="133"/>
      <c r="C12" s="133"/>
      <c r="D12" s="133"/>
      <c r="E12" s="133"/>
      <c r="F12" s="133"/>
      <c r="G12" s="133"/>
      <c r="H12" s="133"/>
      <c r="I12" s="133"/>
      <c r="J12" s="133"/>
      <c r="K12" s="134"/>
      <c r="L12" s="133"/>
      <c r="M12" s="134"/>
    </row>
    <row r="13" spans="1:14" x14ac:dyDescent="0.35">
      <c r="A13" s="145" t="str">
        <f>Squad!A13</f>
        <v>Joe Gallagher</v>
      </c>
      <c r="B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</row>
    <row r="14" spans="1:14" x14ac:dyDescent="0.35">
      <c r="A14" s="145" t="str">
        <f>Squad!A14</f>
        <v>Josh Miah</v>
      </c>
      <c r="B14" s="133"/>
      <c r="C14" s="133"/>
      <c r="D14" s="133"/>
      <c r="E14" s="133"/>
      <c r="F14" s="133"/>
      <c r="G14" s="133"/>
      <c r="H14" s="133"/>
      <c r="I14" s="133"/>
      <c r="J14" s="133"/>
      <c r="K14" s="134"/>
      <c r="L14" s="133"/>
      <c r="M14" s="134"/>
    </row>
    <row r="15" spans="1:14" x14ac:dyDescent="0.35">
      <c r="A15" s="145" t="str">
        <f>Squad!A15</f>
        <v>Jude Ginno</v>
      </c>
      <c r="B15" s="133"/>
      <c r="C15" s="133"/>
      <c r="D15" s="133"/>
      <c r="E15" s="133"/>
      <c r="F15" s="133"/>
      <c r="G15" s="133"/>
      <c r="H15" s="133"/>
      <c r="I15" s="133"/>
      <c r="J15" s="133"/>
      <c r="K15" s="134"/>
      <c r="L15" s="133"/>
      <c r="M15" s="134"/>
    </row>
    <row r="16" spans="1:14" x14ac:dyDescent="0.35">
      <c r="A16" s="145" t="str">
        <f>Squad!A16</f>
        <v>Kalan Wheatley</v>
      </c>
      <c r="B16" s="133"/>
      <c r="C16" s="133"/>
      <c r="D16" s="133"/>
      <c r="E16" s="133"/>
      <c r="F16" s="133"/>
      <c r="G16" s="133"/>
      <c r="H16" s="133"/>
      <c r="I16" s="133"/>
      <c r="J16" s="133"/>
      <c r="K16" s="134"/>
      <c r="L16" s="133"/>
      <c r="M16" s="134"/>
    </row>
    <row r="17" spans="1:13" x14ac:dyDescent="0.35">
      <c r="A17" s="145" t="str">
        <f>Squad!A17</f>
        <v>Kazeem</v>
      </c>
      <c r="B17" s="133"/>
      <c r="C17" s="133"/>
      <c r="D17" s="133"/>
      <c r="E17" s="133"/>
      <c r="F17" s="133"/>
      <c r="G17" s="133"/>
      <c r="H17" s="133"/>
      <c r="I17" s="133"/>
      <c r="J17" s="133"/>
      <c r="K17" s="134"/>
      <c r="L17" s="133"/>
      <c r="M17" s="134"/>
    </row>
    <row r="18" spans="1:13" x14ac:dyDescent="0.35">
      <c r="A18" s="145" t="str">
        <f>Squad!A18</f>
        <v>Keiran Donovan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4"/>
      <c r="L18" s="133"/>
      <c r="M18" s="134"/>
    </row>
    <row r="19" spans="1:13" x14ac:dyDescent="0.35">
      <c r="A19" s="145" t="str">
        <f>Squad!A19</f>
        <v>Keiran Rawlins</v>
      </c>
      <c r="B19" s="133"/>
      <c r="C19" s="133"/>
      <c r="D19" s="133"/>
      <c r="E19" s="133"/>
      <c r="F19" s="133"/>
      <c r="G19" s="133"/>
      <c r="H19" s="133"/>
      <c r="I19" s="133"/>
      <c r="J19" s="133"/>
      <c r="K19" s="134"/>
      <c r="L19" s="133"/>
      <c r="M19" s="134"/>
    </row>
    <row r="20" spans="1:13" x14ac:dyDescent="0.35">
      <c r="A20" s="145" t="str">
        <f>Squad!A20</f>
        <v>Liam Shelbourne</v>
      </c>
      <c r="B20" s="133"/>
      <c r="C20" s="133"/>
      <c r="D20" s="133"/>
      <c r="E20" s="133"/>
      <c r="F20" s="133"/>
      <c r="G20" s="133"/>
      <c r="H20" s="133"/>
      <c r="I20" s="133"/>
      <c r="J20" s="133"/>
      <c r="K20" s="134"/>
      <c r="L20" s="133"/>
      <c r="M20" s="134"/>
    </row>
    <row r="21" spans="1:13" x14ac:dyDescent="0.35">
      <c r="A21" s="145" t="str">
        <f>Squad!A21</f>
        <v>Louie Jones</v>
      </c>
      <c r="B21" s="133"/>
      <c r="C21" s="133"/>
      <c r="D21" s="133"/>
      <c r="E21" s="133"/>
      <c r="F21" s="133"/>
      <c r="G21" s="133"/>
      <c r="H21" s="133"/>
      <c r="I21" s="133"/>
      <c r="J21" s="133"/>
      <c r="K21" s="134"/>
      <c r="L21" s="133"/>
      <c r="M21" s="134"/>
    </row>
    <row r="22" spans="1:13" x14ac:dyDescent="0.35">
      <c r="A22" s="145" t="str">
        <f>Squad!A22</f>
        <v>Rocco</v>
      </c>
      <c r="B22" s="133"/>
      <c r="C22" s="133"/>
      <c r="D22" s="133"/>
      <c r="E22" s="133"/>
      <c r="F22" s="133"/>
      <c r="G22" s="133"/>
      <c r="H22" s="133"/>
      <c r="I22" s="133"/>
      <c r="J22" s="133"/>
      <c r="K22" s="134"/>
      <c r="L22" s="133"/>
      <c r="M22" s="134"/>
    </row>
    <row r="23" spans="1:13" x14ac:dyDescent="0.35">
      <c r="A23" s="145" t="str">
        <f>Squad!A23</f>
        <v>Ronnie Davies</v>
      </c>
      <c r="B23" s="133"/>
      <c r="C23" s="133"/>
      <c r="D23" s="133"/>
      <c r="E23" s="133"/>
      <c r="F23" s="133"/>
      <c r="G23" s="133"/>
      <c r="H23" s="133"/>
      <c r="I23" s="133"/>
      <c r="J23" s="133"/>
      <c r="K23" s="134"/>
      <c r="L23" s="133"/>
      <c r="M23" s="134"/>
    </row>
    <row r="24" spans="1:13" s="92" customFormat="1" x14ac:dyDescent="0.35">
      <c r="A24" s="145" t="str">
        <f>Squad!A24</f>
        <v>Ronnie Tucker</v>
      </c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</row>
    <row r="25" spans="1:13" x14ac:dyDescent="0.35">
      <c r="A25" s="145" t="str">
        <f>Squad!A25</f>
        <v>Ryan Baillie</v>
      </c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</row>
    <row r="26" spans="1:13" x14ac:dyDescent="0.35">
      <c r="A26" s="145" t="str">
        <f>Squad!A26</f>
        <v>Ryeley Doolan</v>
      </c>
      <c r="B26" s="133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</row>
    <row r="27" spans="1:13" x14ac:dyDescent="0.35">
      <c r="A27" s="283" t="str">
        <f>Squad!A27</f>
        <v>Will Beecham</v>
      </c>
      <c r="B27" s="133"/>
      <c r="C27" s="133"/>
      <c r="D27" s="133"/>
      <c r="E27" s="133"/>
      <c r="F27" s="133"/>
      <c r="G27" s="133"/>
      <c r="H27" s="133"/>
      <c r="I27" s="133"/>
      <c r="J27" s="133"/>
      <c r="K27" s="134"/>
      <c r="L27" s="133"/>
      <c r="M27" s="134"/>
    </row>
    <row r="28" spans="1:13" x14ac:dyDescent="0.35">
      <c r="A28" s="149" t="s">
        <v>82</v>
      </c>
      <c r="B28" s="150">
        <f>SUBTOTAL(109,Monthly_Fees[Sept])</f>
        <v>0</v>
      </c>
      <c r="C28" s="150">
        <f>SUBTOTAL(109,Monthly_Fees[Oct])</f>
        <v>0</v>
      </c>
      <c r="D28" s="150">
        <f>SUBTOTAL(109,Monthly_Fees[Nov])</f>
        <v>0</v>
      </c>
      <c r="E28" s="150">
        <f>SUBTOTAL(109,Monthly_Fees[Dec])</f>
        <v>0</v>
      </c>
      <c r="F28" s="150">
        <f>SUBTOTAL(109,Monthly_Fees[Jan])</f>
        <v>0</v>
      </c>
      <c r="G28" s="150">
        <f>SUBTOTAL(109,Monthly_Fees[Feb])</f>
        <v>0</v>
      </c>
      <c r="H28" s="150">
        <f>SUBTOTAL(109,Monthly_Fees[Mar])</f>
        <v>0</v>
      </c>
      <c r="I28" s="150">
        <f>SUBTOTAL(109,Monthly_Fees[Apr])</f>
        <v>0</v>
      </c>
      <c r="J28" s="150">
        <f>SUBTOTAL(109,Monthly_Fees[May])</f>
        <v>0</v>
      </c>
      <c r="K28" s="150">
        <f>SUBTOTAL(109,Monthly_Fees[June])</f>
        <v>0</v>
      </c>
      <c r="L28" s="150">
        <f>SUBTOTAL(109,Monthly_Fees[July])</f>
        <v>0</v>
      </c>
      <c r="M28" s="151">
        <f>SUBTOTAL(109,Monthly_Fees[August])</f>
        <v>0</v>
      </c>
    </row>
    <row r="29" spans="1:13" x14ac:dyDescent="0.35">
      <c r="A29" s="149" t="s">
        <v>0</v>
      </c>
      <c r="B29" s="284">
        <f>COUNT(B2:B27)</f>
        <v>0</v>
      </c>
      <c r="C29" s="284">
        <f>COUNT(C2:C27)</f>
        <v>0</v>
      </c>
      <c r="D29" s="284">
        <f>COUNT(D2:D27)</f>
        <v>0</v>
      </c>
      <c r="E29" s="284">
        <f>COUNT(E2:E27)</f>
        <v>0</v>
      </c>
      <c r="F29" s="284">
        <f>COUNT(F2:F27)</f>
        <v>0</v>
      </c>
      <c r="G29" s="284">
        <f>COUNT(G2:G27)</f>
        <v>0</v>
      </c>
      <c r="H29" s="284">
        <f>COUNT(H2:H27)</f>
        <v>0</v>
      </c>
      <c r="I29" s="284">
        <f>COUNT(I2:I27)</f>
        <v>0</v>
      </c>
      <c r="J29" s="284">
        <f>COUNT(J2:J27)</f>
        <v>0</v>
      </c>
      <c r="K29" s="284">
        <f>COUNT(K2:K27)</f>
        <v>0</v>
      </c>
      <c r="L29" s="284">
        <f>COUNT(L2:L27)</f>
        <v>0</v>
      </c>
      <c r="M29" s="284">
        <f>COUNT(M2:M27)</f>
        <v>0</v>
      </c>
    </row>
    <row r="31" spans="1:13" x14ac:dyDescent="0.35">
      <c r="A31" s="93">
        <f>COUNTA((A2:A22))</f>
        <v>21</v>
      </c>
      <c r="B31" s="94">
        <f>Player_Costs[[#Totals],[Training / Month]]</f>
        <v>390</v>
      </c>
    </row>
    <row r="34" spans="3:12" x14ac:dyDescent="0.35">
      <c r="E34" s="135"/>
    </row>
    <row r="39" spans="3:12" x14ac:dyDescent="0.35">
      <c r="E39" s="136"/>
    </row>
    <row r="41" spans="3:12" x14ac:dyDescent="0.35">
      <c r="E41" s="136"/>
      <c r="L41" s="138"/>
    </row>
    <row r="42" spans="3:12" ht="16" x14ac:dyDescent="0.4">
      <c r="C42" s="137"/>
    </row>
    <row r="44" spans="3:12" x14ac:dyDescent="0.35">
      <c r="H44" s="135"/>
    </row>
    <row r="45" spans="3:12" x14ac:dyDescent="0.35">
      <c r="H45" s="135"/>
    </row>
  </sheetData>
  <phoneticPr fontId="16" type="noConversion"/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3D1-B6C0-449A-B3AD-7846566F59A4}">
  <dimension ref="A1:Q192"/>
  <sheetViews>
    <sheetView workbookViewId="0">
      <selection activeCell="N24" sqref="N24"/>
    </sheetView>
  </sheetViews>
  <sheetFormatPr defaultColWidth="8.90625" defaultRowHeight="14.5" x14ac:dyDescent="0.35"/>
  <cols>
    <col min="1" max="1" width="10.7265625" style="21" bestFit="1" customWidth="1"/>
    <col min="2" max="2" width="11.1796875" style="40" customWidth="1"/>
    <col min="3" max="3" width="11.1796875" style="54" customWidth="1"/>
    <col min="4" max="4" width="11.54296875" style="63" customWidth="1"/>
    <col min="5" max="6" width="11.54296875" style="69" customWidth="1"/>
    <col min="7" max="7" width="12.36328125" style="41" customWidth="1"/>
    <col min="8" max="8" width="6.1796875" style="21" customWidth="1"/>
    <col min="12" max="12" width="21.36328125" bestFit="1" customWidth="1"/>
    <col min="13" max="13" width="10.36328125" bestFit="1" customWidth="1"/>
    <col min="14" max="15" width="10.6328125" customWidth="1"/>
    <col min="16" max="16" width="18.1796875" bestFit="1" customWidth="1"/>
    <col min="17" max="17" width="10.6328125" customWidth="1"/>
  </cols>
  <sheetData>
    <row r="1" spans="1:17" ht="15" thickBot="1" x14ac:dyDescent="0.4"/>
    <row r="2" spans="1:17" ht="29" thickBot="1" x14ac:dyDescent="0.4">
      <c r="A2" s="18"/>
      <c r="B2" s="52" t="s">
        <v>61</v>
      </c>
      <c r="C2" s="55" t="s">
        <v>144</v>
      </c>
      <c r="D2" s="64" t="s">
        <v>11</v>
      </c>
      <c r="E2" s="70" t="s">
        <v>12</v>
      </c>
      <c r="F2" s="70" t="s">
        <v>13</v>
      </c>
      <c r="G2" s="19" t="s">
        <v>14</v>
      </c>
      <c r="H2" s="20" t="s">
        <v>15</v>
      </c>
      <c r="L2" s="204" t="s">
        <v>50</v>
      </c>
      <c r="M2" s="205"/>
      <c r="N2" s="200" t="e">
        <f>#REF!-Ledger!Q20</f>
        <v>#REF!</v>
      </c>
      <c r="O2" s="201"/>
    </row>
    <row r="3" spans="1:17" ht="15" thickBot="1" x14ac:dyDescent="0.4">
      <c r="B3" s="152" t="s">
        <v>127</v>
      </c>
      <c r="C3" s="153"/>
      <c r="D3" s="154"/>
      <c r="E3" s="155"/>
      <c r="F3" s="155"/>
      <c r="G3" s="156"/>
      <c r="L3" s="206"/>
      <c r="M3" s="202"/>
      <c r="N3" s="202"/>
      <c r="O3" s="203"/>
    </row>
    <row r="4" spans="1:17" ht="15" customHeight="1" thickBot="1" x14ac:dyDescent="0.5">
      <c r="A4" s="21" t="s">
        <v>20</v>
      </c>
      <c r="B4" s="58"/>
      <c r="C4" s="54" t="s">
        <v>146</v>
      </c>
      <c r="D4" s="57">
        <f>IF(OR(C4="",MONTH(DATE(2026,9,1)+0*7+MOD(MATCH(C4,{"Sunday","Monday","Tuesday","Wednesday","Thursday","Friday","Saturday"},0)-WEEKDAY(DATE(2026,9,1))+7,7))&lt;&gt;9),"",DATE(2026,9,1)+0*7+MOD(MATCH(C4,{"Sunday","Monday","Tuesday","Wednesday","Thursday","Friday","Saturday"},0)-WEEKDAY(DATE(2026,9,1))+7,7))</f>
        <v>46266</v>
      </c>
      <c r="E4" s="69">
        <f>$N$29</f>
        <v>80</v>
      </c>
      <c r="F4" s="69" cm="1">
        <f t="array" ref="F4">SUMPRODUCT(SUMIF(Costs[Code],TRIM(_xlfn.TEXTSPLIT(H15,",")),Costs[Cost]))</f>
        <v>0</v>
      </c>
      <c r="G4" s="25"/>
      <c r="H4" s="21" t="s">
        <v>158</v>
      </c>
      <c r="L4" s="51"/>
      <c r="M4" s="51"/>
      <c r="N4" s="51"/>
      <c r="O4" s="51"/>
    </row>
    <row r="5" spans="1:17" x14ac:dyDescent="0.35">
      <c r="A5" s="21" t="s">
        <v>22</v>
      </c>
      <c r="B5" s="24"/>
      <c r="C5" s="54" t="s">
        <v>145</v>
      </c>
      <c r="D5" s="57">
        <f>IF(OR(C5="",MONTH(DATE(2026,9,1)+0*7+MOD(MATCH(C5,{"Sunday","Monday","Tuesday","Wednesday","Thursday","Friday","Saturday"},0)-WEEKDAY(DATE(2026,9,1))+7,7))&lt;&gt;9),"",DATE(2026,9,1)+0*7+MOD(MATCH(C5,{"Sunday","Monday","Tuesday","Wednesday","Thursday","Friday","Saturday"},0)-WEEKDAY(DATE(2026,9,1))+7,7))</f>
        <v>46271</v>
      </c>
      <c r="F5" s="69" cm="1">
        <f t="array" ref="F5">SUMPRODUCT(SUMIF(Costs[Code],TRIM(_xlfn.TEXTSPLIT(H16,",")),Costs[Cost]))</f>
        <v>0</v>
      </c>
      <c r="G5" s="25"/>
      <c r="L5" s="207" t="s">
        <v>60</v>
      </c>
      <c r="M5" s="208"/>
      <c r="N5" s="209"/>
      <c r="P5" s="81" t="s">
        <v>143</v>
      </c>
      <c r="Q5" s="82" t="s">
        <v>48</v>
      </c>
    </row>
    <row r="6" spans="1:17" ht="15" thickBot="1" x14ac:dyDescent="0.4">
      <c r="A6" s="21" t="s">
        <v>24</v>
      </c>
      <c r="B6" s="28"/>
      <c r="C6" s="54" t="s">
        <v>146</v>
      </c>
      <c r="D6" s="57">
        <f>IF(OR(C6="",MONTH(DATE(2026,9,1)+1*7+MOD(MATCH(C6,{"Sunday","Monday","Tuesday","Wednesday","Thursday","Friday","Saturday"},0)-WEEKDAY(DATE(2026,9,1))+7,7))&lt;&gt;9),"",DATE(2026,9,1)+1*7+MOD(MATCH(C6,{"Sunday","Monday","Tuesday","Wednesday","Thursday","Friday","Saturday"},0)-WEEKDAY(DATE(2026,9,1))+7,7))</f>
        <v>46273</v>
      </c>
      <c r="E6" s="69">
        <f>$N$29</f>
        <v>80</v>
      </c>
      <c r="F6" s="69" cm="1">
        <f t="array" ref="F6">SUMPRODUCT(SUMIF(Costs[Code],TRIM(_xlfn.TEXTSPLIT(H17,",")),Costs[Cost]))</f>
        <v>0</v>
      </c>
      <c r="G6" s="25"/>
      <c r="L6" s="86" t="s">
        <v>61</v>
      </c>
      <c r="M6" s="87" t="s">
        <v>62</v>
      </c>
      <c r="N6" s="88" t="s">
        <v>63</v>
      </c>
      <c r="P6" s="26"/>
      <c r="Q6" s="42"/>
    </row>
    <row r="7" spans="1:17" x14ac:dyDescent="0.35">
      <c r="B7" s="29"/>
      <c r="C7" s="54" t="s">
        <v>145</v>
      </c>
      <c r="D7" s="57">
        <f>IF(OR(C7="",MONTH(DATE(2026,9,1)+1*7+MOD(MATCH(C7,{"Sunday","Monday","Tuesday","Wednesday","Thursday","Friday","Saturday"},0)-WEEKDAY(DATE(2026,9,1))+7,7))&lt;&gt;9),"",DATE(2026,9,1)+1*7+MOD(MATCH(C7,{"Sunday","Monday","Tuesday","Wednesday","Thursday","Friday","Saturday"},0)-WEEKDAY(DATE(2026,9,1))+7,7))</f>
        <v>46278</v>
      </c>
      <c r="F7" s="69" cm="1">
        <f t="array" ref="F7">SUMPRODUCT(SUMIF(Costs[Code],TRIM(_xlfn.TEXTSPLIT(H18,",")),Costs[Cost]))</f>
        <v>0</v>
      </c>
      <c r="G7" s="25"/>
      <c r="L7" s="80" t="s">
        <v>136</v>
      </c>
      <c r="M7" s="39"/>
      <c r="N7" s="84"/>
      <c r="P7" s="26"/>
      <c r="Q7" s="42"/>
    </row>
    <row r="8" spans="1:17" x14ac:dyDescent="0.35">
      <c r="B8" s="29"/>
      <c r="C8" s="54" t="s">
        <v>146</v>
      </c>
      <c r="D8" s="57">
        <f>IF(OR(C8="",MONTH(DATE(2026,9,1)+2*7+MOD(MATCH(C8,{"Sunday","Monday","Tuesday","Wednesday","Thursday","Friday","Saturday"},0)-WEEKDAY(DATE(2026,9,1))+7,7))&lt;&gt;9),"",DATE(2026,9,1)+2*7+MOD(MATCH(C8,{"Sunday","Monday","Tuesday","Wednesday","Thursday","Friday","Saturday"},0)-WEEKDAY(DATE(2026,9,1))+7,7))</f>
        <v>46280</v>
      </c>
      <c r="E8" s="69">
        <f>$N$29</f>
        <v>80</v>
      </c>
      <c r="F8" s="69" cm="1">
        <f t="array" ref="F8">SUMPRODUCT(SUMIF(Costs[Code],TRIM(_xlfn.TEXTSPLIT(H19,",")),Costs[Cost]))</f>
        <v>0</v>
      </c>
      <c r="G8" s="25"/>
      <c r="L8" s="80" t="s">
        <v>127</v>
      </c>
      <c r="M8" s="22"/>
      <c r="N8" s="85"/>
      <c r="P8" s="26"/>
      <c r="Q8" s="42"/>
    </row>
    <row r="9" spans="1:17" x14ac:dyDescent="0.35">
      <c r="B9" s="29"/>
      <c r="C9" s="54" t="s">
        <v>145</v>
      </c>
      <c r="D9" s="57">
        <f>IF(OR(C9="",MONTH(DATE(2026,9,1)+2*7+MOD(MATCH(C9,{"Sunday","Monday","Tuesday","Wednesday","Thursday","Friday","Saturday"},0)-WEEKDAY(DATE(2026,9,1))+7,7))&lt;&gt;9),"",DATE(2026,9,1)+2*7+MOD(MATCH(C9,{"Sunday","Monday","Tuesday","Wednesday","Thursday","Friday","Saturday"},0)-WEEKDAY(DATE(2026,9,1))+7,7))</f>
        <v>46285</v>
      </c>
      <c r="F9" s="69" cm="1">
        <f t="array" ref="F9">SUMPRODUCT(SUMIF(Costs[Code],TRIM(_xlfn.TEXTSPLIT(H20,",")),Costs[Cost]))</f>
        <v>0</v>
      </c>
      <c r="G9" s="25"/>
      <c r="L9" s="80" t="s">
        <v>128</v>
      </c>
      <c r="M9" s="22"/>
      <c r="N9" s="85"/>
      <c r="P9" s="26"/>
      <c r="Q9" s="42"/>
    </row>
    <row r="10" spans="1:17" x14ac:dyDescent="0.35">
      <c r="B10" s="29"/>
      <c r="C10" s="54" t="s">
        <v>146</v>
      </c>
      <c r="D10" s="57">
        <f>IF(OR(C10="",MONTH(DATE(2026,9,1)+3*7+MOD(MATCH(C10,{"Sunday","Monday","Tuesday","Wednesday","Thursday","Friday","Saturday"},0)-WEEKDAY(DATE(2026,9,1))+7,7))&lt;&gt;9),"",DATE(2026,9,1)+3*7+MOD(MATCH(C10,{"Sunday","Monday","Tuesday","Wednesday","Thursday","Friday","Saturday"},0)-WEEKDAY(DATE(2026,9,1))+7,7))</f>
        <v>46287</v>
      </c>
      <c r="E10" s="69">
        <f>$N$29</f>
        <v>80</v>
      </c>
      <c r="F10" s="69" cm="1">
        <f t="array" ref="F10">SUMPRODUCT(SUMIF(Costs[Code],TRIM(_xlfn.TEXTSPLIT(H21,",")),Costs[Cost]))</f>
        <v>0</v>
      </c>
      <c r="G10" s="30"/>
      <c r="L10" s="80" t="s">
        <v>129</v>
      </c>
      <c r="M10" s="22"/>
      <c r="N10" s="85"/>
      <c r="P10" s="26"/>
      <c r="Q10" s="42"/>
    </row>
    <row r="11" spans="1:17" x14ac:dyDescent="0.35">
      <c r="B11" s="29"/>
      <c r="C11" s="54" t="s">
        <v>145</v>
      </c>
      <c r="D11" s="57">
        <f>IF(OR(C11="",MONTH(DATE(2026,9,1)+3*7+MOD(MATCH(C11,{"Sunday","Monday","Tuesday","Wednesday","Thursday","Friday","Saturday"},0)-WEEKDAY(DATE(2026,9,1))+7,7))&lt;&gt;9),"",DATE(2026,9,1)+3*7+MOD(MATCH(C11,{"Sunday","Monday","Tuesday","Wednesday","Thursday","Friday","Saturday"},0)-WEEKDAY(DATE(2026,9,1))+7,7))</f>
        <v>46292</v>
      </c>
      <c r="F11" s="69" cm="1">
        <f t="array" ref="F11">SUMPRODUCT(SUMIF(Costs[Code],TRIM(_xlfn.TEXTSPLIT(H22,",")),Costs[Cost]))</f>
        <v>0</v>
      </c>
      <c r="G11" s="30"/>
      <c r="L11" s="80" t="s">
        <v>130</v>
      </c>
      <c r="M11" s="22"/>
      <c r="N11" s="85"/>
      <c r="P11" s="26"/>
      <c r="Q11" s="42"/>
    </row>
    <row r="12" spans="1:17" x14ac:dyDescent="0.35">
      <c r="B12" s="31"/>
      <c r="C12" s="54" t="s">
        <v>146</v>
      </c>
      <c r="D12" s="57">
        <f>IF(OR(C12="",MONTH(DATE(2026,9,1)+4*7+MOD(MATCH(C12,{"Sunday","Monday","Tuesday","Wednesday","Thursday","Friday","Saturday"},0)-WEEKDAY(DATE(2026,9,1))+7,7))&lt;&gt;9),"",DATE(2026,9,1)+4*7+MOD(MATCH(C12,{"Sunday","Monday","Tuesday","Wednesday","Thursday","Friday","Saturday"},0)-WEEKDAY(DATE(2026,9,1))+7,7))</f>
        <v>46294</v>
      </c>
      <c r="E12" s="69">
        <f>$N$29</f>
        <v>80</v>
      </c>
      <c r="F12" s="69" cm="1">
        <f t="array" ref="F12">SUMPRODUCT(SUMIF(Costs[Code],TRIM(_xlfn.TEXTSPLIT(H23,",")),Costs[Cost]))</f>
        <v>0</v>
      </c>
      <c r="G12" s="32"/>
      <c r="L12" s="80" t="s">
        <v>131</v>
      </c>
      <c r="M12" s="22"/>
      <c r="N12" s="85"/>
      <c r="P12" s="26"/>
      <c r="Q12" s="42"/>
    </row>
    <row r="13" spans="1:17" ht="15" thickBot="1" x14ac:dyDescent="0.4">
      <c r="B13" s="33"/>
      <c r="C13" s="56"/>
      <c r="D13" s="66"/>
      <c r="E13" s="72">
        <f>SUM(E4:E10)</f>
        <v>320</v>
      </c>
      <c r="F13" s="72">
        <f>SUM(F4:F12)</f>
        <v>0</v>
      </c>
      <c r="G13" s="34">
        <f>B5-F13</f>
        <v>0</v>
      </c>
      <c r="L13" s="80" t="s">
        <v>132</v>
      </c>
      <c r="M13" s="22"/>
      <c r="N13" s="85"/>
      <c r="P13" s="26"/>
      <c r="Q13" s="42"/>
    </row>
    <row r="14" spans="1:17" x14ac:dyDescent="0.35">
      <c r="B14" s="62" t="s">
        <v>128</v>
      </c>
      <c r="D14" s="67"/>
      <c r="E14" s="53"/>
      <c r="F14" s="53"/>
      <c r="G14" s="36"/>
      <c r="L14" s="80" t="s">
        <v>133</v>
      </c>
      <c r="M14" s="22"/>
      <c r="N14" s="85"/>
      <c r="P14" s="26"/>
      <c r="Q14" s="42"/>
    </row>
    <row r="15" spans="1:17" x14ac:dyDescent="0.35">
      <c r="B15" s="58"/>
      <c r="C15" s="54" t="s">
        <v>145</v>
      </c>
      <c r="D15" s="57">
        <f>IF(OR(C15="",MONTH(DATE(2026,10,1)+0*7+MOD(MATCH(C15,{"Sunday","Monday","Tuesday","Wednesday","Thursday","Friday","Saturday"},0)-WEEKDAY(DATE(2026,10,1))+7,7))&lt;&gt;10),"",DATE(2026,10,1)+0*7+MOD(MATCH(C15,{"Sunday","Monday","Tuesday","Wednesday","Thursday","Friday","Saturday"},0)-WEEKDAY(DATE(2026,10,1))+7,7))</f>
        <v>46299</v>
      </c>
      <c r="F15" s="69" cm="1">
        <f t="array" ref="F15">SUMPRODUCT(SUMIF(Costs[Code],TRIM(_xlfn.TEXTSPLIT(H26,",")),Costs[Cost]))</f>
        <v>0</v>
      </c>
      <c r="G15" s="25"/>
      <c r="L15" s="80" t="s">
        <v>134</v>
      </c>
      <c r="M15" s="22"/>
      <c r="N15" s="85"/>
      <c r="P15" s="26"/>
      <c r="Q15" s="42"/>
    </row>
    <row r="16" spans="1:17" x14ac:dyDescent="0.35">
      <c r="B16" s="24"/>
      <c r="C16" s="54" t="s">
        <v>146</v>
      </c>
      <c r="D16" s="57">
        <f>IF(OR(C16="",MONTH(DATE(2026,10,1)+0*7+MOD(MATCH(C16,{"Sunday","Monday","Tuesday","Wednesday","Thursday","Friday","Saturday"},0)-WEEKDAY(DATE(2026,10,1))+7,7))&lt;&gt;10),"",DATE(2026,10,1)+0*7+MOD(MATCH(C16,{"Sunday","Monday","Tuesday","Wednesday","Thursday","Friday","Saturday"},0)-WEEKDAY(DATE(2026,10,1))+7,7))</f>
        <v>46301</v>
      </c>
      <c r="E16" s="69">
        <f>$N$29</f>
        <v>80</v>
      </c>
      <c r="F16" s="69" cm="1">
        <f t="array" ref="F16">SUMPRODUCT(SUMIF(Costs[Code],TRIM(_xlfn.TEXTSPLIT(H27,",")),Costs[Cost]))</f>
        <v>0</v>
      </c>
      <c r="G16" s="25"/>
      <c r="L16" s="80" t="s">
        <v>9</v>
      </c>
      <c r="M16" s="22"/>
      <c r="N16" s="85"/>
      <c r="P16" s="26"/>
      <c r="Q16" s="42"/>
    </row>
    <row r="17" spans="1:17" x14ac:dyDescent="0.35">
      <c r="B17" s="28"/>
      <c r="C17" s="54" t="s">
        <v>145</v>
      </c>
      <c r="D17" s="57">
        <f>IF(OR(C17="",MONTH(DATE(2026,10,1)+1*7+MOD(MATCH(C17,{"Sunday","Monday","Tuesday","Wednesday","Thursday","Friday","Saturday"},0)-WEEKDAY(DATE(2026,10,1))+7,7))&lt;&gt;10),"",DATE(2026,10,1)+1*7+MOD(MATCH(C17,{"Sunday","Monday","Tuesday","Wednesday","Thursday","Friday","Saturday"},0)-WEEKDAY(DATE(2026,10,1))+7,7))</f>
        <v>46306</v>
      </c>
      <c r="F17" s="69" cm="1">
        <f t="array" ref="F17">SUMPRODUCT(SUMIF(Costs[Code],TRIM(_xlfn.TEXTSPLIT(H28,",")),Costs[Cost]))</f>
        <v>0</v>
      </c>
      <c r="G17" s="25"/>
      <c r="L17" s="80" t="s">
        <v>10</v>
      </c>
      <c r="M17" s="22"/>
      <c r="N17" s="85"/>
      <c r="P17" s="26"/>
      <c r="Q17" s="42"/>
    </row>
    <row r="18" spans="1:17" x14ac:dyDescent="0.35">
      <c r="B18" s="29"/>
      <c r="C18" s="54" t="s">
        <v>146</v>
      </c>
      <c r="D18" s="57">
        <f>IF(OR(C18="",MONTH(DATE(2026,10,1)+1*7+MOD(MATCH(C18,{"Sunday","Monday","Tuesday","Wednesday","Thursday","Friday","Saturday"},0)-WEEKDAY(DATE(2026,10,1))+7,7))&lt;&gt;10),"",DATE(2026,10,1)+1*7+MOD(MATCH(C18,{"Sunday","Monday","Tuesday","Wednesday","Thursday","Friday","Saturday"},0)-WEEKDAY(DATE(2026,10,1))+7,7))</f>
        <v>46308</v>
      </c>
      <c r="E18" s="69">
        <f>$N$29</f>
        <v>80</v>
      </c>
      <c r="F18" s="69" cm="1">
        <f t="array" ref="F18">SUMPRODUCT(SUMIF(Costs[Code],TRIM(_xlfn.TEXTSPLIT(H29,",")),Costs[Cost]))</f>
        <v>0</v>
      </c>
      <c r="G18" s="25"/>
      <c r="L18" s="80" t="s">
        <v>135</v>
      </c>
      <c r="M18" s="22"/>
      <c r="N18" s="85"/>
      <c r="P18" s="26"/>
      <c r="Q18" s="42"/>
    </row>
    <row r="19" spans="1:17" x14ac:dyDescent="0.35">
      <c r="B19" s="29"/>
      <c r="C19" s="54" t="s">
        <v>145</v>
      </c>
      <c r="D19" s="57">
        <f>IF(OR(C19="",MONTH(DATE(2026,10,1)+2*7+MOD(MATCH(C19,{"Sunday","Monday","Tuesday","Wednesday","Thursday","Friday","Saturday"},0)-WEEKDAY(DATE(2026,10,1))+7,7))&lt;&gt;10),"",DATE(2026,10,1)+2*7+MOD(MATCH(C19,{"Sunday","Monday","Tuesday","Wednesday","Thursday","Friday","Saturday"},0)-WEEKDAY(DATE(2026,10,1))+7,7))</f>
        <v>46313</v>
      </c>
      <c r="F19" s="69" cm="1">
        <f t="array" ref="F19">SUMPRODUCT(SUMIF(Costs[Code],TRIM(_xlfn.TEXTSPLIT(H30,",")),Costs[Cost]))</f>
        <v>0</v>
      </c>
      <c r="G19" s="25"/>
      <c r="L19" s="91" t="s">
        <v>136</v>
      </c>
      <c r="M19" s="89"/>
      <c r="N19" s="90"/>
      <c r="P19" s="26"/>
      <c r="Q19" s="42"/>
    </row>
    <row r="20" spans="1:17" ht="15" thickBot="1" x14ac:dyDescent="0.4">
      <c r="B20" s="29"/>
      <c r="C20" s="54" t="s">
        <v>146</v>
      </c>
      <c r="D20" s="57">
        <f>IF(OR(C20="",MONTH(DATE(2026,10,1)+2*7+MOD(MATCH(C20,{"Sunday","Monday","Tuesday","Wednesday","Thursday","Friday","Saturday"},0)-WEEKDAY(DATE(2026,10,1))+7,7))&lt;&gt;10),"",DATE(2026,10,1)+2*7+MOD(MATCH(C20,{"Sunday","Monday","Tuesday","Wednesday","Thursday","Friday","Saturday"},0)-WEEKDAY(DATE(2026,10,1))+7,7))</f>
        <v>46315</v>
      </c>
      <c r="E20" s="69">
        <f>$N$29</f>
        <v>80</v>
      </c>
      <c r="F20" s="69" cm="1">
        <f t="array" ref="F20">SUMPRODUCT(SUMIF(Costs[Code],TRIM(_xlfn.TEXTSPLIT(H31,",")),Costs[Cost]))</f>
        <v>0</v>
      </c>
      <c r="G20" s="25"/>
      <c r="L20" s="21"/>
      <c r="M20" s="78"/>
      <c r="N20" s="27"/>
      <c r="P20" s="43" t="s">
        <v>82</v>
      </c>
      <c r="Q20" s="83">
        <f>SUM(Q6:Q19)</f>
        <v>0</v>
      </c>
    </row>
    <row r="21" spans="1:17" x14ac:dyDescent="0.35">
      <c r="B21" s="29"/>
      <c r="C21" s="54" t="s">
        <v>145</v>
      </c>
      <c r="D21" s="57">
        <f>IF(OR(C21="",MONTH(DATE(2026,10,1)+3*7+MOD(MATCH(C21,{"Sunday","Monday","Tuesday","Wednesday","Thursday","Friday","Saturday"},0)-WEEKDAY(DATE(2026,10,1))+7,7))&lt;&gt;10),"",DATE(2026,10,1)+3*7+MOD(MATCH(C21,{"Sunday","Monday","Tuesday","Wednesday","Thursday","Friday","Saturday"},0)-WEEKDAY(DATE(2026,10,1))+7,7))</f>
        <v>46320</v>
      </c>
      <c r="F21" s="69" cm="1">
        <f t="array" ref="F21">SUMPRODUCT(SUMIF(Costs[Code],TRIM(_xlfn.TEXTSPLIT(H32,",")),Costs[Cost]))</f>
        <v>0</v>
      </c>
      <c r="G21" s="30"/>
    </row>
    <row r="22" spans="1:17" x14ac:dyDescent="0.35">
      <c r="B22" s="29"/>
      <c r="C22" s="54" t="s">
        <v>146</v>
      </c>
      <c r="D22" s="57">
        <f>IF(OR(C22="",MONTH(DATE(2026,10,1)+3*7+MOD(MATCH(C22,{"Sunday","Monday","Tuesday","Wednesday","Thursday","Friday","Saturday"},0)-WEEKDAY(DATE(2026,10,1))+7,7))&lt;&gt;10),"",DATE(2026,10,1)+3*7+MOD(MATCH(C22,{"Sunday","Monday","Tuesday","Wednesday","Thursday","Friday","Saturday"},0)-WEEKDAY(DATE(2026,10,1))+7,7))</f>
        <v>46322</v>
      </c>
      <c r="E22" s="69">
        <f>$N$29</f>
        <v>80</v>
      </c>
      <c r="F22" s="69" cm="1">
        <f t="array" ref="F22">SUMPRODUCT(SUMIF(Costs[Code],TRIM(_xlfn.TEXTSPLIT(H33,",")),Costs[Cost]))</f>
        <v>0</v>
      </c>
      <c r="G22" s="30"/>
    </row>
    <row r="23" spans="1:17" x14ac:dyDescent="0.35">
      <c r="B23" s="31"/>
      <c r="D23" s="57"/>
      <c r="G23" s="32"/>
      <c r="L23" s="75" t="s">
        <v>47</v>
      </c>
      <c r="M23" s="75" t="s">
        <v>15</v>
      </c>
      <c r="N23" s="75" t="s">
        <v>48</v>
      </c>
    </row>
    <row r="24" spans="1:17" ht="15" thickBot="1" x14ac:dyDescent="0.4">
      <c r="B24" s="33"/>
      <c r="C24" s="56"/>
      <c r="D24" s="66"/>
      <c r="E24" s="72">
        <f>SUM(E15:E21)</f>
        <v>240</v>
      </c>
      <c r="F24" s="72">
        <f>SUM(F15:F23)</f>
        <v>0</v>
      </c>
      <c r="G24" s="34">
        <f>B16-F24</f>
        <v>0</v>
      </c>
      <c r="L24" s="74" t="s">
        <v>54</v>
      </c>
      <c r="M24" s="74" t="s">
        <v>53</v>
      </c>
      <c r="N24" s="77">
        <v>70</v>
      </c>
    </row>
    <row r="25" spans="1:17" x14ac:dyDescent="0.35">
      <c r="A25" s="27"/>
      <c r="B25" s="62" t="s">
        <v>129</v>
      </c>
      <c r="D25" s="67"/>
      <c r="E25" s="53"/>
      <c r="F25" s="53"/>
      <c r="G25" s="36"/>
      <c r="L25" s="74" t="s">
        <v>121</v>
      </c>
      <c r="M25" s="74" t="s">
        <v>56</v>
      </c>
      <c r="N25" s="77">
        <v>90</v>
      </c>
    </row>
    <row r="26" spans="1:17" x14ac:dyDescent="0.35">
      <c r="B26" s="58"/>
      <c r="C26" s="54" t="s">
        <v>145</v>
      </c>
      <c r="D26" s="57">
        <f>IF(OR(C26="",MONTH(DATE(2026,11,1)+0*7+MOD(MATCH(C26,{"Sunday","Monday","Tuesday","Wednesday","Thursday","Friday","Saturday"},0)-WEEKDAY(DATE(2026,11,1))+7,7))&lt;&gt;11),"",DATE(2026,11,1)+0*7+MOD(MATCH(C26,{"Sunday","Monday","Tuesday","Wednesday","Thursday","Friday","Saturday"},0)-WEEKDAY(DATE(2026,11,1))+7,7))</f>
        <v>46327</v>
      </c>
      <c r="F26" s="69" cm="1">
        <f t="array" ref="F26">SUMPRODUCT(SUMIF(Costs[Code],TRIM(_xlfn.TEXTSPLIT(H37,",")),Costs[Cost]))</f>
        <v>0</v>
      </c>
      <c r="G26" s="25"/>
      <c r="L26" s="74" t="s">
        <v>49</v>
      </c>
      <c r="M26" s="76" t="s">
        <v>149</v>
      </c>
      <c r="N26" s="77">
        <v>22.5</v>
      </c>
    </row>
    <row r="27" spans="1:17" x14ac:dyDescent="0.35">
      <c r="B27" s="24"/>
      <c r="C27" s="54" t="s">
        <v>146</v>
      </c>
      <c r="D27" s="57">
        <f>IF(OR(C27="",MONTH(DATE(2026,11,1)+0*7+MOD(MATCH(C27,{"Sunday","Monday","Tuesday","Wednesday","Thursday","Friday","Saturday"},0)-WEEKDAY(DATE(2026,11,1))+7,7))&lt;&gt;11),"",DATE(2026,11,1)+0*7+MOD(MATCH(C27,{"Sunday","Monday","Tuesday","Wednesday","Thursday","Friday","Saturday"},0)-WEEKDAY(DATE(2026,11,1))+7,7))</f>
        <v>46329</v>
      </c>
      <c r="E27" s="69">
        <f>$N$29</f>
        <v>80</v>
      </c>
      <c r="F27" s="69" cm="1">
        <f t="array" ref="F27">SUMPRODUCT(SUMIF(Costs[Code],TRIM(_xlfn.TEXTSPLIT(H38,",")),Costs[Cost]))</f>
        <v>0</v>
      </c>
      <c r="G27" s="25"/>
      <c r="L27" s="74" t="s">
        <v>52</v>
      </c>
      <c r="M27" s="74" t="s">
        <v>51</v>
      </c>
      <c r="N27" s="77">
        <v>45</v>
      </c>
    </row>
    <row r="28" spans="1:17" x14ac:dyDescent="0.35">
      <c r="B28" s="28"/>
      <c r="C28" s="54" t="s">
        <v>145</v>
      </c>
      <c r="D28" s="57">
        <f>IF(OR(C28="",MONTH(DATE(2026,11,1)+1*7+MOD(MATCH(C28,{"Sunday","Monday","Tuesday","Wednesday","Thursday","Friday","Saturday"},0)-WEEKDAY(DATE(2026,11,1))+7,7))&lt;&gt;11),"",DATE(2026,11,1)+1*7+MOD(MATCH(C28,{"Sunday","Monday","Tuesday","Wednesday","Thursday","Friday","Saturday"},0)-WEEKDAY(DATE(2026,11,1))+7,7))</f>
        <v>46334</v>
      </c>
      <c r="F28" s="69" cm="1">
        <f t="array" ref="F28">SUMPRODUCT(SUMIF(Costs[Code],TRIM(_xlfn.TEXTSPLIT(H39,",")),Costs[Cost]))</f>
        <v>0</v>
      </c>
      <c r="G28" s="25"/>
      <c r="L28" s="74" t="s">
        <v>140</v>
      </c>
      <c r="M28" s="74" t="s">
        <v>141</v>
      </c>
      <c r="N28" s="77">
        <v>40</v>
      </c>
    </row>
    <row r="29" spans="1:17" x14ac:dyDescent="0.35">
      <c r="B29" s="29"/>
      <c r="C29" s="54" t="s">
        <v>146</v>
      </c>
      <c r="D29" s="57">
        <f>IF(OR(C29="",MONTH(DATE(2026,11,1)+1*7+MOD(MATCH(C29,{"Sunday","Monday","Tuesday","Wednesday","Thursday","Friday","Saturday"},0)-WEEKDAY(DATE(2026,11,1))+7,7))&lt;&gt;11),"",DATE(2026,11,1)+1*7+MOD(MATCH(C29,{"Sunday","Monday","Tuesday","Wednesday","Thursday","Friday","Saturday"},0)-WEEKDAY(DATE(2026,11,1))+7,7))</f>
        <v>46336</v>
      </c>
      <c r="E29" s="69">
        <f>$N$29</f>
        <v>80</v>
      </c>
      <c r="F29" s="69" cm="1">
        <f t="array" ref="F29">SUMPRODUCT(SUMIF(Costs[Code],TRIM(_xlfn.TEXTSPLIT(H40,",")),Costs[Cost]))</f>
        <v>0</v>
      </c>
      <c r="G29" s="25"/>
      <c r="H29" s="27"/>
      <c r="L29" s="74" t="s">
        <v>139</v>
      </c>
      <c r="M29" s="74" t="s">
        <v>142</v>
      </c>
      <c r="N29" s="77">
        <v>80</v>
      </c>
    </row>
    <row r="30" spans="1:17" x14ac:dyDescent="0.35">
      <c r="B30" s="29"/>
      <c r="C30" s="54" t="s">
        <v>145</v>
      </c>
      <c r="D30" s="57">
        <f>IF(OR(C30="",MONTH(DATE(2026,11,1)+2*7+MOD(MATCH(C30,{"Sunday","Monday","Tuesday","Wednesday","Thursday","Friday","Saturday"},0)-WEEKDAY(DATE(2026,11,1))+7,7))&lt;&gt;11),"",DATE(2026,11,1)+2*7+MOD(MATCH(C30,{"Sunday","Monday","Tuesday","Wednesday","Thursday","Friday","Saturday"},0)-WEEKDAY(DATE(2026,11,1))+7,7))</f>
        <v>46341</v>
      </c>
      <c r="F30" s="69" cm="1">
        <f t="array" ref="F30">SUMPRODUCT(SUMIF(Costs[Code],TRIM(_xlfn.TEXTSPLIT(H41,",")),Costs[Cost]))</f>
        <v>0</v>
      </c>
      <c r="G30" s="25"/>
      <c r="L30" s="21"/>
      <c r="M30" s="21"/>
      <c r="N30" s="79"/>
    </row>
    <row r="31" spans="1:17" x14ac:dyDescent="0.35">
      <c r="B31" s="29"/>
      <c r="C31" s="54" t="s">
        <v>146</v>
      </c>
      <c r="D31" s="57">
        <f>IF(OR(C31="",MONTH(DATE(2026,11,1)+2*7+MOD(MATCH(C31,{"Sunday","Monday","Tuesday","Wednesday","Thursday","Friday","Saturday"},0)-WEEKDAY(DATE(2026,11,1))+7,7))&lt;&gt;11),"",DATE(2026,11,1)+2*7+MOD(MATCH(C31,{"Sunday","Monday","Tuesday","Wednesday","Thursday","Friday","Saturday"},0)-WEEKDAY(DATE(2026,11,1))+7,7))</f>
        <v>46343</v>
      </c>
      <c r="E31" s="69">
        <f>$N$29</f>
        <v>80</v>
      </c>
      <c r="F31" s="69" cm="1">
        <f t="array" ref="F31">SUMPRODUCT(SUMIF(Costs[Code],TRIM(_xlfn.TEXTSPLIT(H42,",")),Costs[Cost]))</f>
        <v>0</v>
      </c>
      <c r="G31" s="25"/>
      <c r="L31" s="21"/>
      <c r="M31" s="21"/>
      <c r="N31" s="79"/>
    </row>
    <row r="32" spans="1:17" x14ac:dyDescent="0.35">
      <c r="B32" s="29"/>
      <c r="C32" s="54" t="s">
        <v>145</v>
      </c>
      <c r="D32" s="57">
        <f>IF(OR(C32="",MONTH(DATE(2026,11,1)+3*7+MOD(MATCH(C32,{"Sunday","Monday","Tuesday","Wednesday","Thursday","Friday","Saturday"},0)-WEEKDAY(DATE(2026,11,1))+7,7))&lt;&gt;11),"",DATE(2026,11,1)+3*7+MOD(MATCH(C32,{"Sunday","Monday","Tuesday","Wednesday","Thursday","Friday","Saturday"},0)-WEEKDAY(DATE(2026,11,1))+7,7))</f>
        <v>46348</v>
      </c>
      <c r="F32" s="69" cm="1">
        <f t="array" ref="F32">SUMPRODUCT(SUMIF(Costs[Code],TRIM(_xlfn.TEXTSPLIT(H43,",")),Costs[Cost]))</f>
        <v>0</v>
      </c>
      <c r="G32" s="30"/>
    </row>
    <row r="33" spans="2:7" x14ac:dyDescent="0.35">
      <c r="B33" s="29"/>
      <c r="C33" s="54" t="s">
        <v>146</v>
      </c>
      <c r="D33" s="57">
        <f>IF(OR(C33="",MONTH(DATE(2026,11,1)+3*7+MOD(MATCH(C33,{"Sunday","Monday","Tuesday","Wednesday","Thursday","Friday","Saturday"},0)-WEEKDAY(DATE(2026,11,1))+7,7))&lt;&gt;11),"",DATE(2026,11,1)+3*7+MOD(MATCH(C33,{"Sunday","Monday","Tuesday","Wednesday","Thursday","Friday","Saturday"},0)-WEEKDAY(DATE(2026,11,1))+7,7))</f>
        <v>46350</v>
      </c>
      <c r="E33" s="69">
        <f>$N$29</f>
        <v>80</v>
      </c>
      <c r="F33" s="69" cm="1">
        <f t="array" ref="F33">SUMPRODUCT(SUMIF(Costs[Code],TRIM(_xlfn.TEXTSPLIT(H44,",")),Costs[Cost]))</f>
        <v>0</v>
      </c>
      <c r="G33" s="30"/>
    </row>
    <row r="34" spans="2:7" x14ac:dyDescent="0.35">
      <c r="B34" s="31"/>
      <c r="C34" s="54" t="s">
        <v>145</v>
      </c>
      <c r="D34" s="57">
        <f>IF(OR(C34="",MONTH(DATE(2026,11,1)+4*7+MOD(MATCH(C34,{"Sunday","Monday","Tuesday","Wednesday","Thursday","Friday","Saturday"},0)-WEEKDAY(DATE(2026,11,1))+7,7))&lt;&gt;11),"",DATE(2026,11,1)+4*7+MOD(MATCH(C34,{"Sunday","Monday","Tuesday","Wednesday","Thursday","Friday","Saturday"},0)-WEEKDAY(DATE(2026,11,1))+7,7))</f>
        <v>46355</v>
      </c>
      <c r="F34" s="69" cm="1">
        <f t="array" ref="F34">SUMPRODUCT(SUMIF(Costs[Code],TRIM(_xlfn.TEXTSPLIT(H45,",")),Costs[Cost]))</f>
        <v>0</v>
      </c>
      <c r="G34" s="32"/>
    </row>
    <row r="35" spans="2:7" ht="15" thickBot="1" x14ac:dyDescent="0.4">
      <c r="B35" s="33"/>
      <c r="C35" s="56"/>
      <c r="D35" s="66"/>
      <c r="E35" s="72">
        <f>SUM(E26:E32)</f>
        <v>240</v>
      </c>
      <c r="F35" s="72">
        <f>SUM(F26:F34)</f>
        <v>0</v>
      </c>
      <c r="G35" s="34">
        <f>B27-F35</f>
        <v>0</v>
      </c>
    </row>
    <row r="36" spans="2:7" x14ac:dyDescent="0.35">
      <c r="B36" s="62" t="s">
        <v>130</v>
      </c>
      <c r="D36" s="67"/>
      <c r="E36" s="53"/>
      <c r="F36" s="53"/>
      <c r="G36" s="36"/>
    </row>
    <row r="37" spans="2:7" x14ac:dyDescent="0.35">
      <c r="B37" s="58"/>
      <c r="C37" s="54" t="s">
        <v>146</v>
      </c>
      <c r="D37" s="57">
        <f>IF(OR(C37="",MONTH(DATE(2026,12,1)+0*7+MOD(MATCH(C37,{"Sunday","Monday","Tuesday","Wednesday","Thursday","Friday","Saturday"},0)-WEEKDAY(DATE(2026,12,1))+7,7))&lt;&gt;12),"",DATE(2026,12,1)+0*7+MOD(MATCH(C37,{"Sunday","Monday","Tuesday","Wednesday","Thursday","Friday","Saturday"},0)-WEEKDAY(DATE(2026,12,1))+7,7))</f>
        <v>46357</v>
      </c>
      <c r="E37" s="69">
        <f>$N$29</f>
        <v>80</v>
      </c>
      <c r="F37" s="69" cm="1">
        <f t="array" ref="F37">SUMPRODUCT(SUMIF(Costs[Code],TRIM(_xlfn.TEXTSPLIT(H48,",")),Costs[Cost]))</f>
        <v>0</v>
      </c>
      <c r="G37" s="25"/>
    </row>
    <row r="38" spans="2:7" x14ac:dyDescent="0.35">
      <c r="B38" s="24"/>
      <c r="C38" s="54" t="s">
        <v>145</v>
      </c>
      <c r="D38" s="57">
        <f>IF(OR(C38="",MONTH(DATE(2026,12,1)+0*7+MOD(MATCH(C38,{"Sunday","Monday","Tuesday","Wednesday","Thursday","Friday","Saturday"},0)-WEEKDAY(DATE(2026,12,1))+7,7))&lt;&gt;12),"",DATE(2026,12,1)+0*7+MOD(MATCH(C38,{"Sunday","Monday","Tuesday","Wednesday","Thursday","Friday","Saturday"},0)-WEEKDAY(DATE(2026,12,1))+7,7))</f>
        <v>46362</v>
      </c>
      <c r="F38" s="69" cm="1">
        <f t="array" ref="F38">SUMPRODUCT(SUMIF(Costs[Code],TRIM(_xlfn.TEXTSPLIT(H49,",")),Costs[Cost]))</f>
        <v>0</v>
      </c>
      <c r="G38" s="25"/>
    </row>
    <row r="39" spans="2:7" x14ac:dyDescent="0.35">
      <c r="B39" s="28"/>
      <c r="C39" s="54" t="s">
        <v>146</v>
      </c>
      <c r="D39" s="57">
        <f>IF(OR(C39="",MONTH(DATE(2026,12,1)+1*7+MOD(MATCH(C39,{"Sunday","Monday","Tuesday","Wednesday","Thursday","Friday","Saturday"},0)-WEEKDAY(DATE(2026,12,1))+7,7))&lt;&gt;12),"",DATE(2026,12,1)+1*7+MOD(MATCH(C39,{"Sunday","Monday","Tuesday","Wednesday","Thursday","Friday","Saturday"},0)-WEEKDAY(DATE(2026,12,1))+7,7))</f>
        <v>46364</v>
      </c>
      <c r="E39" s="69">
        <f>$N$29</f>
        <v>80</v>
      </c>
      <c r="F39" s="69" cm="1">
        <f t="array" ref="F39">SUMPRODUCT(SUMIF(Costs[Code],TRIM(_xlfn.TEXTSPLIT(H50,",")),Costs[Cost]))</f>
        <v>0</v>
      </c>
      <c r="G39" s="25"/>
    </row>
    <row r="40" spans="2:7" x14ac:dyDescent="0.35">
      <c r="B40" s="29"/>
      <c r="C40" s="54" t="s">
        <v>145</v>
      </c>
      <c r="D40" s="57">
        <f>IF(OR(C40="",MONTH(DATE(2026,12,1)+1*7+MOD(MATCH(C40,{"Sunday","Monday","Tuesday","Wednesday","Thursday","Friday","Saturday"},0)-WEEKDAY(DATE(2026,12,1))+7,7))&lt;&gt;12),"",DATE(2026,12,1)+1*7+MOD(MATCH(C40,{"Sunday","Monday","Tuesday","Wednesday","Thursday","Friday","Saturday"},0)-WEEKDAY(DATE(2026,12,1))+7,7))</f>
        <v>46369</v>
      </c>
      <c r="F40" s="69" cm="1">
        <f t="array" ref="F40">SUMPRODUCT(SUMIF(Costs[Code],TRIM(_xlfn.TEXTSPLIT(H51,",")),Costs[Cost]))</f>
        <v>0</v>
      </c>
      <c r="G40" s="25"/>
    </row>
    <row r="41" spans="2:7" x14ac:dyDescent="0.35">
      <c r="B41" s="29"/>
      <c r="C41" s="54" t="s">
        <v>146</v>
      </c>
      <c r="D41" s="57">
        <f>IF(OR(C41="",MONTH(DATE(2026,12,1)+2*7+MOD(MATCH(C41,{"Sunday","Monday","Tuesday","Wednesday","Thursday","Friday","Saturday"},0)-WEEKDAY(DATE(2026,12,1))+7,7))&lt;&gt;12),"",DATE(2026,12,1)+2*7+MOD(MATCH(C41,{"Sunday","Monday","Tuesday","Wednesday","Thursday","Friday","Saturday"},0)-WEEKDAY(DATE(2026,12,1))+7,7))</f>
        <v>46371</v>
      </c>
      <c r="E41" s="69">
        <f>$N$29</f>
        <v>80</v>
      </c>
      <c r="F41" s="69" cm="1">
        <f t="array" ref="F41">SUMPRODUCT(SUMIF(Costs[Code],TRIM(_xlfn.TEXTSPLIT(H52,",")),Costs[Cost]))</f>
        <v>0</v>
      </c>
      <c r="G41" s="25"/>
    </row>
    <row r="42" spans="2:7" x14ac:dyDescent="0.35">
      <c r="B42" s="29"/>
      <c r="C42" s="54" t="s">
        <v>145</v>
      </c>
      <c r="D42" s="57">
        <f>IF(OR(C42="",MONTH(DATE(2026,12,1)+2*7+MOD(MATCH(C42,{"Sunday","Monday","Tuesday","Wednesday","Thursday","Friday","Saturday"},0)-WEEKDAY(DATE(2026,12,1))+7,7))&lt;&gt;12),"",DATE(2026,12,1)+2*7+MOD(MATCH(C42,{"Sunday","Monday","Tuesday","Wednesday","Thursday","Friday","Saturday"},0)-WEEKDAY(DATE(2026,12,1))+7,7))</f>
        <v>46376</v>
      </c>
      <c r="F42" s="69" cm="1">
        <f t="array" ref="F42">SUMPRODUCT(SUMIF(Costs[Code],TRIM(_xlfn.TEXTSPLIT(H53,",")),Costs[Cost]))</f>
        <v>0</v>
      </c>
      <c r="G42" s="25"/>
    </row>
    <row r="43" spans="2:7" x14ac:dyDescent="0.35">
      <c r="B43" s="29"/>
      <c r="C43" s="54" t="s">
        <v>146</v>
      </c>
      <c r="D43" s="57">
        <f>IF(OR(C43="",MONTH(DATE(2026,12,1)+3*7+MOD(MATCH(C43,{"Sunday","Monday","Tuesday","Wednesday","Thursday","Friday","Saturday"},0)-WEEKDAY(DATE(2026,12,1))+7,7))&lt;&gt;12),"",DATE(2026,12,1)+3*7+MOD(MATCH(C43,{"Sunday","Monday","Tuesday","Wednesday","Thursday","Friday","Saturday"},0)-WEEKDAY(DATE(2026,12,1))+7,7))</f>
        <v>46378</v>
      </c>
      <c r="E43" s="69">
        <f>$N$29</f>
        <v>80</v>
      </c>
      <c r="F43" s="69" cm="1">
        <f t="array" ref="F43">SUMPRODUCT(SUMIF(Costs[Code],TRIM(_xlfn.TEXTSPLIT(H54,",")),Costs[Cost]))</f>
        <v>0</v>
      </c>
      <c r="G43" s="30"/>
    </row>
    <row r="44" spans="2:7" x14ac:dyDescent="0.35">
      <c r="B44" s="29"/>
      <c r="C44" s="54" t="s">
        <v>145</v>
      </c>
      <c r="D44" s="57">
        <f>IF(OR(C44="",MONTH(DATE(2026,12,1)+3*7+MOD(MATCH(C44,{"Sunday","Monday","Tuesday","Wednesday","Thursday","Friday","Saturday"},0)-WEEKDAY(DATE(2026,12,1))+7,7))&lt;&gt;12),"",DATE(2026,12,1)+3*7+MOD(MATCH(C44,{"Sunday","Monday","Tuesday","Wednesday","Thursday","Friday","Saturday"},0)-WEEKDAY(DATE(2026,12,1))+7,7))</f>
        <v>46383</v>
      </c>
      <c r="F44" s="69" cm="1">
        <f t="array" ref="F44">SUMPRODUCT(SUMIF(Costs[Code],TRIM(_xlfn.TEXTSPLIT(H55,",")),Costs[Cost]))</f>
        <v>0</v>
      </c>
      <c r="G44" s="30"/>
    </row>
    <row r="45" spans="2:7" ht="15" thickBot="1" x14ac:dyDescent="0.4">
      <c r="B45" s="33"/>
      <c r="C45" s="56"/>
      <c r="D45" s="66"/>
      <c r="E45" s="72">
        <f>SUM(E37:E43)</f>
        <v>320</v>
      </c>
      <c r="F45" s="72">
        <f>SUM(F37:F44)</f>
        <v>0</v>
      </c>
      <c r="G45" s="34">
        <f>B38-F45</f>
        <v>0</v>
      </c>
    </row>
    <row r="46" spans="2:7" x14ac:dyDescent="0.35">
      <c r="B46" s="61" t="s">
        <v>131</v>
      </c>
      <c r="C46" s="59"/>
      <c r="D46" s="65"/>
      <c r="E46" s="71"/>
      <c r="F46" s="71"/>
      <c r="G46" s="60"/>
    </row>
    <row r="47" spans="2:7" x14ac:dyDescent="0.35">
      <c r="B47" s="58"/>
      <c r="C47" s="54" t="s">
        <v>145</v>
      </c>
      <c r="D47" s="57">
        <f>IF(OR(C47="",MONTH(DATE(2027,1,1)+0*7+MOD(MATCH(C47,{"Sunday","Monday","Tuesday","Wednesday","Thursday","Friday","Saturday"},0)-WEEKDAY(DATE(2027,1,1))+7,7))&lt;&gt;1),"",DATE(2027,1,1)+0*7+MOD(MATCH(C47,{"Sunday","Monday","Tuesday","Wednesday","Thursday","Friday","Saturday"},0)-WEEKDAY(DATE(2027,1,1))+7,7))</f>
        <v>46390</v>
      </c>
      <c r="F47" s="69" cm="1">
        <f t="array" ref="F47">SUMPRODUCT(SUMIF(Costs[Code],TRIM(_xlfn.TEXTSPLIT(H58,",")),Costs[Cost]))</f>
        <v>0</v>
      </c>
      <c r="G47" s="25"/>
    </row>
    <row r="48" spans="2:7" x14ac:dyDescent="0.35">
      <c r="B48" s="24"/>
      <c r="C48" s="54" t="s">
        <v>146</v>
      </c>
      <c r="D48" s="57">
        <f>IF(OR(C48="",MONTH(DATE(2027,1,1)+0*7+MOD(MATCH(C48,{"Sunday","Monday","Tuesday","Wednesday","Thursday","Friday","Saturday"},0)-WEEKDAY(DATE(2027,1,1))+7,7))&lt;&gt;1),"",DATE(2027,1,1)+0*7+MOD(MATCH(C48,{"Sunday","Monday","Tuesday","Wednesday","Thursday","Friday","Saturday"},0)-WEEKDAY(DATE(2027,1,1))+7,7))</f>
        <v>46392</v>
      </c>
      <c r="E48" s="69">
        <f>$N$29</f>
        <v>80</v>
      </c>
      <c r="F48" s="69" cm="1">
        <f t="array" ref="F48">SUMPRODUCT(SUMIF(Costs[Code],TRIM(_xlfn.TEXTSPLIT(H59,",")),Costs[Cost]))</f>
        <v>0</v>
      </c>
      <c r="G48" s="25"/>
    </row>
    <row r="49" spans="2:7" x14ac:dyDescent="0.35">
      <c r="B49" s="28"/>
      <c r="C49" s="54" t="s">
        <v>145</v>
      </c>
      <c r="D49" s="57">
        <f>IF(OR(C49="",MONTH(DATE(2027,1,1)+1*7+MOD(MATCH(C49,{"Sunday","Monday","Tuesday","Wednesday","Thursday","Friday","Saturday"},0)-WEEKDAY(DATE(2027,1,1))+7,7))&lt;&gt;1),"",DATE(2027,1,1)+1*7+MOD(MATCH(C49,{"Sunday","Monday","Tuesday","Wednesday","Thursday","Friday","Saturday"},0)-WEEKDAY(DATE(2027,1,1))+7,7))</f>
        <v>46397</v>
      </c>
      <c r="F49" s="69" cm="1">
        <f t="array" ref="F49">SUMPRODUCT(SUMIF(Costs[Code],TRIM(_xlfn.TEXTSPLIT(H60,",")),Costs[Cost]))</f>
        <v>0</v>
      </c>
      <c r="G49" s="25"/>
    </row>
    <row r="50" spans="2:7" x14ac:dyDescent="0.35">
      <c r="B50" s="29"/>
      <c r="C50" s="54" t="s">
        <v>146</v>
      </c>
      <c r="D50" s="57">
        <f>IF(OR(C50="",MONTH(DATE(2027,1,1)+1*7+MOD(MATCH(C50,{"Sunday","Monday","Tuesday","Wednesday","Thursday","Friday","Saturday"},0)-WEEKDAY(DATE(2027,1,1))+7,7))&lt;&gt;1),"",DATE(2027,1,1)+1*7+MOD(MATCH(C50,{"Sunday","Monday","Tuesday","Wednesday","Thursday","Friday","Saturday"},0)-WEEKDAY(DATE(2027,1,1))+7,7))</f>
        <v>46399</v>
      </c>
      <c r="E50" s="69">
        <f>$N$29</f>
        <v>80</v>
      </c>
      <c r="F50" s="69" cm="1">
        <f t="array" ref="F50">SUMPRODUCT(SUMIF(Costs[Code],TRIM(_xlfn.TEXTSPLIT(H61,",")),Costs[Cost]))</f>
        <v>0</v>
      </c>
      <c r="G50" s="25"/>
    </row>
    <row r="51" spans="2:7" x14ac:dyDescent="0.35">
      <c r="B51" s="29"/>
      <c r="C51" s="54" t="s">
        <v>145</v>
      </c>
      <c r="D51" s="57">
        <f>IF(OR(C51="",MONTH(DATE(2027,1,1)+2*7+MOD(MATCH(C51,{"Sunday","Monday","Tuesday","Wednesday","Thursday","Friday","Saturday"},0)-WEEKDAY(DATE(2027,1,1))+7,7))&lt;&gt;1),"",DATE(2027,1,1)+2*7+MOD(MATCH(C51,{"Sunday","Monday","Tuesday","Wednesday","Thursday","Friday","Saturday"},0)-WEEKDAY(DATE(2027,1,1))+7,7))</f>
        <v>46404</v>
      </c>
      <c r="F51" s="69" cm="1">
        <f t="array" ref="F51">SUMPRODUCT(SUMIF(Costs[Code],TRIM(_xlfn.TEXTSPLIT(H62,",")),Costs[Cost]))</f>
        <v>0</v>
      </c>
      <c r="G51" s="25"/>
    </row>
    <row r="52" spans="2:7" x14ac:dyDescent="0.35">
      <c r="B52" s="29"/>
      <c r="C52" s="54" t="s">
        <v>146</v>
      </c>
      <c r="D52" s="57">
        <f>IF(OR(C52="",MONTH(DATE(2027,1,1)+2*7+MOD(MATCH(C52,{"Sunday","Monday","Tuesday","Wednesday","Thursday","Friday","Saturday"},0)-WEEKDAY(DATE(2027,1,1))+7,7))&lt;&gt;1),"",DATE(2027,1,1)+2*7+MOD(MATCH(C52,{"Sunday","Monday","Tuesday","Wednesday","Thursday","Friday","Saturday"},0)-WEEKDAY(DATE(2027,1,1))+7,7))</f>
        <v>46406</v>
      </c>
      <c r="E52" s="69">
        <f>$N$29</f>
        <v>80</v>
      </c>
      <c r="F52" s="69" cm="1">
        <f t="array" ref="F52">SUMPRODUCT(SUMIF(Costs[Code],TRIM(_xlfn.TEXTSPLIT(H63,",")),Costs[Cost]))</f>
        <v>0</v>
      </c>
      <c r="G52" s="25"/>
    </row>
    <row r="53" spans="2:7" x14ac:dyDescent="0.35">
      <c r="B53" s="29"/>
      <c r="C53" s="54" t="s">
        <v>145</v>
      </c>
      <c r="D53" s="57">
        <f>IF(OR(C53="",MONTH(DATE(2027,1,1)+3*7+MOD(MATCH(C53,{"Sunday","Monday","Tuesday","Wednesday","Thursday","Friday","Saturday"},0)-WEEKDAY(DATE(2027,1,1))+7,7))&lt;&gt;1),"",DATE(2027,1,1)+3*7+MOD(MATCH(C53,{"Sunday","Monday","Tuesday","Wednesday","Thursday","Friday","Saturday"},0)-WEEKDAY(DATE(2027,1,1))+7,7))</f>
        <v>46411</v>
      </c>
      <c r="F53" s="69" cm="1">
        <f t="array" ref="F53">SUMPRODUCT(SUMIF(Costs[Code],TRIM(_xlfn.TEXTSPLIT(H64,",")),Costs[Cost]))</f>
        <v>0</v>
      </c>
      <c r="G53" s="30"/>
    </row>
    <row r="54" spans="2:7" x14ac:dyDescent="0.35">
      <c r="B54" s="29"/>
      <c r="C54" s="54" t="s">
        <v>146</v>
      </c>
      <c r="D54" s="57">
        <f>IF(OR(C54="",MONTH(DATE(2027,1,1)+3*7+MOD(MATCH(C54,{"Sunday","Monday","Tuesday","Wednesday","Thursday","Friday","Saturday"},0)-WEEKDAY(DATE(2027,1,1))+7,7))&lt;&gt;1),"",DATE(2027,1,1)+3*7+MOD(MATCH(C54,{"Sunday","Monday","Tuesday","Wednesday","Thursday","Friday","Saturday"},0)-WEEKDAY(DATE(2027,1,1))+7,7))</f>
        <v>46413</v>
      </c>
      <c r="E54" s="69">
        <f>$N$29</f>
        <v>80</v>
      </c>
      <c r="F54" s="69" cm="1">
        <f t="array" ref="F54">SUMPRODUCT(SUMIF(Costs[Code],TRIM(_xlfn.TEXTSPLIT(H65,",")),Costs[Cost]))</f>
        <v>0</v>
      </c>
      <c r="G54" s="30"/>
    </row>
    <row r="55" spans="2:7" x14ac:dyDescent="0.35">
      <c r="B55" s="31"/>
      <c r="C55" s="54" t="s">
        <v>145</v>
      </c>
      <c r="D55" s="57">
        <f>IF(OR(C55="",MONTH(DATE(2027,1,1)+4*7+MOD(MATCH(C55,{"Sunday","Monday","Tuesday","Wednesday","Thursday","Friday","Saturday"},0)-WEEKDAY(DATE(2027,1,1))+7,7))&lt;&gt;1),"",DATE(2027,1,1)+4*7+MOD(MATCH(C55,{"Sunday","Monday","Tuesday","Wednesday","Thursday","Friday","Saturday"},0)-WEEKDAY(DATE(2027,1,1))+7,7))</f>
        <v>46418</v>
      </c>
      <c r="F55" s="69" cm="1">
        <f t="array" ref="F55">SUMPRODUCT(SUMIF(Costs[Code],TRIM(_xlfn.TEXTSPLIT(H66,",")),Costs[Cost]))</f>
        <v>0</v>
      </c>
      <c r="G55" s="32"/>
    </row>
    <row r="56" spans="2:7" ht="15" thickBot="1" x14ac:dyDescent="0.4">
      <c r="B56" s="33"/>
      <c r="C56" s="56"/>
      <c r="D56" s="66"/>
      <c r="E56" s="72">
        <f>SUM(E47:E53)</f>
        <v>240</v>
      </c>
      <c r="F56" s="72">
        <f>SUM(F47:F55)</f>
        <v>0</v>
      </c>
      <c r="G56" s="34">
        <f>B48-F56</f>
        <v>0</v>
      </c>
    </row>
    <row r="57" spans="2:7" x14ac:dyDescent="0.35">
      <c r="B57" s="62" t="s">
        <v>132</v>
      </c>
      <c r="D57" s="67"/>
      <c r="E57" s="53"/>
      <c r="F57" s="53"/>
      <c r="G57" s="36"/>
    </row>
    <row r="58" spans="2:7" x14ac:dyDescent="0.35">
      <c r="B58" s="58"/>
      <c r="C58" s="54" t="s">
        <v>146</v>
      </c>
      <c r="D58" s="57">
        <f>IF(OR(C58="",MONTH(DATE(2027,2,1)+0*7+MOD(MATCH(C58,{"Sunday","Monday","Tuesday","Wednesday","Thursday","Friday","Saturday"},0)-WEEKDAY(DATE(2027,2,1))+7,7))&lt;&gt;2),"",DATE(2027,2,1)+0*7+MOD(MATCH(C58,{"Sunday","Monday","Tuesday","Wednesday","Thursday","Friday","Saturday"},0)-WEEKDAY(DATE(2027,2,1))+7,7))</f>
        <v>46420</v>
      </c>
      <c r="E58" s="69">
        <f>$N$29</f>
        <v>80</v>
      </c>
      <c r="F58" s="69" cm="1">
        <f t="array" ref="F58">SUMPRODUCT(SUMIF(Costs[Code],TRIM(_xlfn.TEXTSPLIT(H69,",")),Costs[Cost]))</f>
        <v>0</v>
      </c>
      <c r="G58" s="25"/>
    </row>
    <row r="59" spans="2:7" x14ac:dyDescent="0.35">
      <c r="B59" s="24"/>
      <c r="C59" s="54" t="s">
        <v>145</v>
      </c>
      <c r="D59" s="57">
        <f>IF(OR(C59="",MONTH(DATE(2027,2,1)+0*7+MOD(MATCH(C59,{"Sunday","Monday","Tuesday","Wednesday","Thursday","Friday","Saturday"},0)-WEEKDAY(DATE(2027,2,1))+7,7))&lt;&gt;2),"",DATE(2027,2,1)+0*7+MOD(MATCH(C59,{"Sunday","Monday","Tuesday","Wednesday","Thursday","Friday","Saturday"},0)-WEEKDAY(DATE(2027,2,1))+7,7))</f>
        <v>46425</v>
      </c>
      <c r="F59" s="69" cm="1">
        <f t="array" ref="F59">SUMPRODUCT(SUMIF(Costs[Code],TRIM(_xlfn.TEXTSPLIT(H70,",")),Costs[Cost]))</f>
        <v>0</v>
      </c>
      <c r="G59" s="25"/>
    </row>
    <row r="60" spans="2:7" x14ac:dyDescent="0.35">
      <c r="B60" s="28"/>
      <c r="C60" s="54" t="s">
        <v>146</v>
      </c>
      <c r="D60" s="57">
        <f>IF(OR(C60="",MONTH(DATE(2027,2,1)+1*7+MOD(MATCH(C60,{"Sunday","Monday","Tuesday","Wednesday","Thursday","Friday","Saturday"},0)-WEEKDAY(DATE(2027,2,1))+7,7))&lt;&gt;2),"",DATE(2027,2,1)+1*7+MOD(MATCH(C60,{"Sunday","Monday","Tuesday","Wednesday","Thursday","Friday","Saturday"},0)-WEEKDAY(DATE(2027,2,1))+7,7))</f>
        <v>46427</v>
      </c>
      <c r="E60" s="69">
        <f>$N$29</f>
        <v>80</v>
      </c>
      <c r="F60" s="69" cm="1">
        <f t="array" ref="F60">SUMPRODUCT(SUMIF(Costs[Code],TRIM(_xlfn.TEXTSPLIT(H71,",")),Costs[Cost]))</f>
        <v>0</v>
      </c>
      <c r="G60" s="25"/>
    </row>
    <row r="61" spans="2:7" x14ac:dyDescent="0.35">
      <c r="B61" s="29"/>
      <c r="C61" s="54" t="s">
        <v>145</v>
      </c>
      <c r="D61" s="57">
        <f>IF(OR(C61="",MONTH(DATE(2027,2,1)+1*7+MOD(MATCH(C61,{"Sunday","Monday","Tuesday","Wednesday","Thursday","Friday","Saturday"},0)-WEEKDAY(DATE(2027,2,1))+7,7))&lt;&gt;2),"",DATE(2027,2,1)+1*7+MOD(MATCH(C61,{"Sunday","Monday","Tuesday","Wednesday","Thursday","Friday","Saturday"},0)-WEEKDAY(DATE(2027,2,1))+7,7))</f>
        <v>46432</v>
      </c>
      <c r="F61" s="69" cm="1">
        <f t="array" ref="F61">SUMPRODUCT(SUMIF(Costs[Code],TRIM(_xlfn.TEXTSPLIT(H72,",")),Costs[Cost]))</f>
        <v>0</v>
      </c>
      <c r="G61" s="25"/>
    </row>
    <row r="62" spans="2:7" x14ac:dyDescent="0.35">
      <c r="B62" s="29"/>
      <c r="C62" s="54" t="s">
        <v>146</v>
      </c>
      <c r="D62" s="57">
        <f>IF(OR(C62="",MONTH(DATE(2027,2,1)+2*7+MOD(MATCH(C62,{"Sunday","Monday","Tuesday","Wednesday","Thursday","Friday","Saturday"},0)-WEEKDAY(DATE(2027,2,1))+7,7))&lt;&gt;2),"",DATE(2027,2,1)+2*7+MOD(MATCH(C62,{"Sunday","Monday","Tuesday","Wednesday","Thursday","Friday","Saturday"},0)-WEEKDAY(DATE(2027,2,1))+7,7))</f>
        <v>46434</v>
      </c>
      <c r="E62" s="69">
        <f>$N$29</f>
        <v>80</v>
      </c>
      <c r="F62" s="69" cm="1">
        <f t="array" ref="F62">SUMPRODUCT(SUMIF(Costs[Code],TRIM(_xlfn.TEXTSPLIT(H73,",")),Costs[Cost]))</f>
        <v>0</v>
      </c>
      <c r="G62" s="25"/>
    </row>
    <row r="63" spans="2:7" x14ac:dyDescent="0.35">
      <c r="B63" s="29"/>
      <c r="C63" s="54" t="s">
        <v>145</v>
      </c>
      <c r="D63" s="57">
        <f>IF(OR(C63="",MONTH(DATE(2027,2,1)+2*7+MOD(MATCH(C63,{"Sunday","Monday","Tuesday","Wednesday","Thursday","Friday","Saturday"},0)-WEEKDAY(DATE(2027,2,1))+7,7))&lt;&gt;2),"",DATE(2027,2,1)+2*7+MOD(MATCH(C63,{"Sunday","Monday","Tuesday","Wednesday","Thursday","Friday","Saturday"},0)-WEEKDAY(DATE(2027,2,1))+7,7))</f>
        <v>46439</v>
      </c>
      <c r="F63" s="69" cm="1">
        <f t="array" ref="F63">SUMPRODUCT(SUMIF(Costs[Code],TRIM(_xlfn.TEXTSPLIT(H74,",")),Costs[Cost]))</f>
        <v>0</v>
      </c>
      <c r="G63" s="25"/>
    </row>
    <row r="64" spans="2:7" x14ac:dyDescent="0.35">
      <c r="B64" s="29"/>
      <c r="C64" s="54" t="s">
        <v>146</v>
      </c>
      <c r="D64" s="57">
        <f>IF(OR(C64="",MONTH(DATE(2027,2,1)+3*7+MOD(MATCH(C64,{"Sunday","Monday","Tuesday","Wednesday","Thursday","Friday","Saturday"},0)-WEEKDAY(DATE(2027,2,1))+7,7))&lt;&gt;2),"",DATE(2027,2,1)+3*7+MOD(MATCH(C64,{"Sunday","Monday","Tuesday","Wednesday","Thursday","Friday","Saturday"},0)-WEEKDAY(DATE(2027,2,1))+7,7))</f>
        <v>46441</v>
      </c>
      <c r="E64" s="69">
        <f>$N$29</f>
        <v>80</v>
      </c>
      <c r="F64" s="69" cm="1">
        <f t="array" ref="F64">SUMPRODUCT(SUMIF(Costs[Code],TRIM(_xlfn.TEXTSPLIT(H75,",")),Costs[Cost]))</f>
        <v>0</v>
      </c>
      <c r="G64" s="30"/>
    </row>
    <row r="65" spans="2:7" x14ac:dyDescent="0.35">
      <c r="B65" s="29"/>
      <c r="C65" s="54" t="s">
        <v>145</v>
      </c>
      <c r="D65" s="57">
        <f>IF(OR(C65="",MONTH(DATE(2027,2,1)+3*7+MOD(MATCH(C65,{"Sunday","Monday","Tuesday","Wednesday","Thursday","Friday","Saturday"},0)-WEEKDAY(DATE(2027,2,1))+7,7))&lt;&gt;2),"",DATE(2027,2,1)+3*7+MOD(MATCH(C65,{"Sunday","Monday","Tuesday","Wednesday","Thursday","Friday","Saturday"},0)-WEEKDAY(DATE(2027,2,1))+7,7))</f>
        <v>46446</v>
      </c>
      <c r="F65" s="69" cm="1">
        <f t="array" ref="F65">SUMPRODUCT(SUMIF(Costs[Code],TRIM(_xlfn.TEXTSPLIT(H76,",")),Costs[Cost]))</f>
        <v>0</v>
      </c>
      <c r="G65" s="30"/>
    </row>
    <row r="66" spans="2:7" ht="15" thickBot="1" x14ac:dyDescent="0.4">
      <c r="B66" s="33"/>
      <c r="C66" s="56"/>
      <c r="D66" s="66"/>
      <c r="E66" s="72">
        <f>SUM(E58:E64)</f>
        <v>320</v>
      </c>
      <c r="F66" s="72">
        <f>SUM(F58:F65)</f>
        <v>0</v>
      </c>
      <c r="G66" s="34">
        <f>B59-F66</f>
        <v>0</v>
      </c>
    </row>
    <row r="67" spans="2:7" x14ac:dyDescent="0.35">
      <c r="B67" s="62" t="s">
        <v>133</v>
      </c>
      <c r="D67" s="67"/>
      <c r="E67" s="53"/>
      <c r="F67" s="53"/>
      <c r="G67" s="36"/>
    </row>
    <row r="68" spans="2:7" x14ac:dyDescent="0.35">
      <c r="B68" s="58"/>
      <c r="C68" s="54" t="s">
        <v>146</v>
      </c>
      <c r="D68" s="57">
        <f>IF(OR(C68="",MONTH(DATE(2027,3,1)+0*7+MOD(MATCH(C68,{"Sunday","Monday","Tuesday","Wednesday","Thursday","Friday","Saturday"},0)-WEEKDAY(DATE(2027,3,1))+7,7))&lt;&gt;3),"",DATE(2027,3,1)+0*7+MOD(MATCH(C68,{"Sunday","Monday","Tuesday","Wednesday","Thursday","Friday","Saturday"},0)-WEEKDAY(DATE(2027,3,1))+7,7))</f>
        <v>46448</v>
      </c>
      <c r="E68" s="69">
        <f>$N$29</f>
        <v>80</v>
      </c>
      <c r="F68" s="69" cm="1">
        <f t="array" ref="F68">SUMPRODUCT(SUMIF(Costs[Code],TRIM(_xlfn.TEXTSPLIT(H79,",")),Costs[Cost]))</f>
        <v>0</v>
      </c>
      <c r="G68" s="25"/>
    </row>
    <row r="69" spans="2:7" x14ac:dyDescent="0.35">
      <c r="B69" s="24"/>
      <c r="C69" s="54" t="s">
        <v>145</v>
      </c>
      <c r="D69" s="57">
        <f>IF(OR(C69="",MONTH(DATE(2027,3,1)+0*7+MOD(MATCH(C69,{"Sunday","Monday","Tuesday","Wednesday","Thursday","Friday","Saturday"},0)-WEEKDAY(DATE(2027,3,1))+7,7))&lt;&gt;3),"",DATE(2027,3,1)+0*7+MOD(MATCH(C69,{"Sunday","Monday","Tuesday","Wednesday","Thursday","Friday","Saturday"},0)-WEEKDAY(DATE(2027,3,1))+7,7))</f>
        <v>46453</v>
      </c>
      <c r="F69" s="69" cm="1">
        <f t="array" ref="F69">SUMPRODUCT(SUMIF(Costs[Code],TRIM(_xlfn.TEXTSPLIT(H80,",")),Costs[Cost]))</f>
        <v>0</v>
      </c>
      <c r="G69" s="25"/>
    </row>
    <row r="70" spans="2:7" x14ac:dyDescent="0.35">
      <c r="B70" s="28"/>
      <c r="C70" s="54" t="s">
        <v>146</v>
      </c>
      <c r="D70" s="57">
        <f>IF(OR(C70="",MONTH(DATE(2027,3,1)+1*7+MOD(MATCH(C70,{"Sunday","Monday","Tuesday","Wednesday","Thursday","Friday","Saturday"},0)-WEEKDAY(DATE(2027,3,1))+7,7))&lt;&gt;3),"",DATE(2027,3,1)+1*7+MOD(MATCH(C70,{"Sunday","Monday","Tuesday","Wednesday","Thursday","Friday","Saturday"},0)-WEEKDAY(DATE(2027,3,1))+7,7))</f>
        <v>46455</v>
      </c>
      <c r="E70" s="69">
        <f>$N$29</f>
        <v>80</v>
      </c>
      <c r="F70" s="69" cm="1">
        <f t="array" ref="F70">SUMPRODUCT(SUMIF(Costs[Code],TRIM(_xlfn.TEXTSPLIT(H81,",")),Costs[Cost]))</f>
        <v>0</v>
      </c>
      <c r="G70" s="25"/>
    </row>
    <row r="71" spans="2:7" x14ac:dyDescent="0.35">
      <c r="B71" s="29"/>
      <c r="C71" s="54" t="s">
        <v>145</v>
      </c>
      <c r="D71" s="57">
        <f>IF(OR(C71="",MONTH(DATE(2027,3,1)+1*7+MOD(MATCH(C71,{"Sunday","Monday","Tuesday","Wednesday","Thursday","Friday","Saturday"},0)-WEEKDAY(DATE(2027,3,1))+7,7))&lt;&gt;3),"",DATE(2027,3,1)+1*7+MOD(MATCH(C71,{"Sunday","Monday","Tuesday","Wednesday","Thursday","Friday","Saturday"},0)-WEEKDAY(DATE(2027,3,1))+7,7))</f>
        <v>46460</v>
      </c>
      <c r="F71" s="69" cm="1">
        <f t="array" ref="F71">SUMPRODUCT(SUMIF(Costs[Code],TRIM(_xlfn.TEXTSPLIT(H82,",")),Costs[Cost]))</f>
        <v>0</v>
      </c>
      <c r="G71" s="25"/>
    </row>
    <row r="72" spans="2:7" x14ac:dyDescent="0.35">
      <c r="B72" s="29"/>
      <c r="C72" s="54" t="s">
        <v>146</v>
      </c>
      <c r="D72" s="57">
        <f>IF(OR(C72="",MONTH(DATE(2027,3,1)+2*7+MOD(MATCH(C72,{"Sunday","Monday","Tuesday","Wednesday","Thursday","Friday","Saturday"},0)-WEEKDAY(DATE(2027,3,1))+7,7))&lt;&gt;3),"",DATE(2027,3,1)+2*7+MOD(MATCH(C72,{"Sunday","Monday","Tuesday","Wednesday","Thursday","Friday","Saturday"},0)-WEEKDAY(DATE(2027,3,1))+7,7))</f>
        <v>46462</v>
      </c>
      <c r="E72" s="69">
        <f>$N$29</f>
        <v>80</v>
      </c>
      <c r="F72" s="69" cm="1">
        <f t="array" ref="F72">SUMPRODUCT(SUMIF(Costs[Code],TRIM(_xlfn.TEXTSPLIT(H83,",")),Costs[Cost]))</f>
        <v>0</v>
      </c>
      <c r="G72" s="25"/>
    </row>
    <row r="73" spans="2:7" x14ac:dyDescent="0.35">
      <c r="B73" s="29"/>
      <c r="C73" s="54" t="s">
        <v>145</v>
      </c>
      <c r="D73" s="57">
        <f>IF(OR(C73="",MONTH(DATE(2027,3,1)+2*7+MOD(MATCH(C73,{"Sunday","Monday","Tuesday","Wednesday","Thursday","Friday","Saturday"},0)-WEEKDAY(DATE(2027,3,1))+7,7))&lt;&gt;3),"",DATE(2027,3,1)+2*7+MOD(MATCH(C73,{"Sunday","Monday","Tuesday","Wednesday","Thursday","Friday","Saturday"},0)-WEEKDAY(DATE(2027,3,1))+7,7))</f>
        <v>46467</v>
      </c>
      <c r="F73" s="69" cm="1">
        <f t="array" ref="F73">SUMPRODUCT(SUMIF(Costs[Code],TRIM(_xlfn.TEXTSPLIT(H84,",")),Costs[Cost]))</f>
        <v>0</v>
      </c>
      <c r="G73" s="25"/>
    </row>
    <row r="74" spans="2:7" x14ac:dyDescent="0.35">
      <c r="B74" s="29"/>
      <c r="C74" s="54" t="s">
        <v>146</v>
      </c>
      <c r="D74" s="57">
        <f>IF(OR(C74="",MONTH(DATE(2027,3,1)+3*7+MOD(MATCH(C74,{"Sunday","Monday","Tuesday","Wednesday","Thursday","Friday","Saturday"},0)-WEEKDAY(DATE(2027,3,1))+7,7))&lt;&gt;3),"",DATE(2027,3,1)+3*7+MOD(MATCH(C74,{"Sunday","Monday","Tuesday","Wednesday","Thursday","Friday","Saturday"},0)-WEEKDAY(DATE(2027,3,1))+7,7))</f>
        <v>46469</v>
      </c>
      <c r="E74" s="69">
        <f>$N$29</f>
        <v>80</v>
      </c>
      <c r="F74" s="69" cm="1">
        <f t="array" ref="F74">SUMPRODUCT(SUMIF(Costs[Code],TRIM(_xlfn.TEXTSPLIT(H85,",")),Costs[Cost]))</f>
        <v>0</v>
      </c>
      <c r="G74" s="30"/>
    </row>
    <row r="75" spans="2:7" x14ac:dyDescent="0.35">
      <c r="B75" s="29"/>
      <c r="C75" s="54" t="s">
        <v>145</v>
      </c>
      <c r="D75" s="57">
        <f>IF(OR(C75="",MONTH(DATE(2027,3,1)+3*7+MOD(MATCH(C75,{"Sunday","Monday","Tuesday","Wednesday","Thursday","Friday","Saturday"},0)-WEEKDAY(DATE(2027,3,1))+7,7))&lt;&gt;3),"",DATE(2027,3,1)+3*7+MOD(MATCH(C75,{"Sunday","Monday","Tuesday","Wednesday","Thursday","Friday","Saturday"},0)-WEEKDAY(DATE(2027,3,1))+7,7))</f>
        <v>46474</v>
      </c>
      <c r="F75" s="69" cm="1">
        <f t="array" ref="F75">SUMPRODUCT(SUMIF(Costs[Code],TRIM(_xlfn.TEXTSPLIT(H86,",")),Costs[Cost]))</f>
        <v>0</v>
      </c>
      <c r="G75" s="30"/>
    </row>
    <row r="76" spans="2:7" x14ac:dyDescent="0.35">
      <c r="B76" s="31"/>
      <c r="C76" s="54" t="s">
        <v>146</v>
      </c>
      <c r="D76" s="57"/>
      <c r="E76" s="69">
        <f>$N$29</f>
        <v>80</v>
      </c>
      <c r="F76" s="69" cm="1">
        <f t="array" ref="F76">SUMPRODUCT(SUMIF(Costs[Code],TRIM(_xlfn.TEXTSPLIT(H87,",")),Costs[Cost]))</f>
        <v>0</v>
      </c>
      <c r="G76" s="32"/>
    </row>
    <row r="77" spans="2:7" ht="15" thickBot="1" x14ac:dyDescent="0.4">
      <c r="B77" s="33"/>
      <c r="C77" s="56"/>
      <c r="D77" s="66"/>
      <c r="E77" s="72">
        <f>SUM(E68:E74)</f>
        <v>320</v>
      </c>
      <c r="F77" s="72">
        <f>SUM(F68:F76)</f>
        <v>0</v>
      </c>
      <c r="G77" s="34">
        <f>B69-F77</f>
        <v>0</v>
      </c>
    </row>
    <row r="78" spans="2:7" x14ac:dyDescent="0.35">
      <c r="B78" s="62" t="s">
        <v>134</v>
      </c>
      <c r="D78" s="67"/>
      <c r="E78" s="53"/>
      <c r="F78" s="53"/>
      <c r="G78" s="36"/>
    </row>
    <row r="79" spans="2:7" x14ac:dyDescent="0.35">
      <c r="B79" s="58"/>
      <c r="C79" s="54" t="s">
        <v>145</v>
      </c>
      <c r="D79" s="57">
        <f>IF(OR(C79="",MONTH(DATE(2027,4,1)+0*7+MOD(MATCH(C79,{"Sunday","Monday","Tuesday","Wednesday","Thursday","Friday","Saturday"},0)-WEEKDAY(DATE(2027,4,1))+7,7))&lt;&gt;4),"",DATE(2027,4,1)+0*7+MOD(MATCH(C79,{"Sunday","Monday","Tuesday","Wednesday","Thursday","Friday","Saturday"},0)-WEEKDAY(DATE(2027,4,1))+7,7))</f>
        <v>46481</v>
      </c>
      <c r="F79" s="69" cm="1">
        <f t="array" ref="F79">SUMPRODUCT(SUMIF(Costs[Code],TRIM(_xlfn.TEXTSPLIT(H90,",")),Costs[Cost]))</f>
        <v>0</v>
      </c>
      <c r="G79" s="25"/>
    </row>
    <row r="80" spans="2:7" x14ac:dyDescent="0.35">
      <c r="B80" s="24"/>
      <c r="C80" s="54" t="s">
        <v>146</v>
      </c>
      <c r="D80" s="57">
        <f>IF(OR(C80="",MONTH(DATE(2027,4,1)+0*7+MOD(MATCH(C80,{"Sunday","Monday","Tuesday","Wednesday","Thursday","Friday","Saturday"},0)-WEEKDAY(DATE(2027,4,1))+7,7))&lt;&gt;4),"",DATE(2027,4,1)+0*7+MOD(MATCH(C80,{"Sunday","Monday","Tuesday","Wednesday","Thursday","Friday","Saturday"},0)-WEEKDAY(DATE(2027,4,1))+7,7))</f>
        <v>46483</v>
      </c>
      <c r="E80" s="69">
        <f>$N$29</f>
        <v>80</v>
      </c>
      <c r="F80" s="69" cm="1">
        <f t="array" ref="F80">SUMPRODUCT(SUMIF(Costs[Code],TRIM(_xlfn.TEXTSPLIT(H91,",")),Costs[Cost]))</f>
        <v>0</v>
      </c>
      <c r="G80" s="25"/>
    </row>
    <row r="81" spans="2:7" x14ac:dyDescent="0.35">
      <c r="B81" s="28"/>
      <c r="C81" s="54" t="s">
        <v>145</v>
      </c>
      <c r="D81" s="57">
        <f>IF(OR(C81="",MONTH(DATE(2027,4,1)+1*7+MOD(MATCH(C81,{"Sunday","Monday","Tuesday","Wednesday","Thursday","Friday","Saturday"},0)-WEEKDAY(DATE(2027,4,1))+7,7))&lt;&gt;4),"",DATE(2027,4,1)+1*7+MOD(MATCH(C81,{"Sunday","Monday","Tuesday","Wednesday","Thursday","Friday","Saturday"},0)-WEEKDAY(DATE(2027,4,1))+7,7))</f>
        <v>46488</v>
      </c>
      <c r="F81" s="69" cm="1">
        <f t="array" ref="F81">SUMPRODUCT(SUMIF(Costs[Code],TRIM(_xlfn.TEXTSPLIT(H92,",")),Costs[Cost]))</f>
        <v>0</v>
      </c>
      <c r="G81" s="25"/>
    </row>
    <row r="82" spans="2:7" x14ac:dyDescent="0.35">
      <c r="B82" s="29"/>
      <c r="C82" s="54" t="s">
        <v>146</v>
      </c>
      <c r="D82" s="57">
        <f>IF(OR(C82="",MONTH(DATE(2027,4,1)+1*7+MOD(MATCH(C82,{"Sunday","Monday","Tuesday","Wednesday","Thursday","Friday","Saturday"},0)-WEEKDAY(DATE(2027,4,1))+7,7))&lt;&gt;4),"",DATE(2027,4,1)+1*7+MOD(MATCH(C82,{"Sunday","Monday","Tuesday","Wednesday","Thursday","Friday","Saturday"},0)-WEEKDAY(DATE(2027,4,1))+7,7))</f>
        <v>46490</v>
      </c>
      <c r="E82" s="69">
        <f>$N$29</f>
        <v>80</v>
      </c>
      <c r="F82" s="69" cm="1">
        <f t="array" ref="F82">SUMPRODUCT(SUMIF(Costs[Code],TRIM(_xlfn.TEXTSPLIT(H93,",")),Costs[Cost]))</f>
        <v>0</v>
      </c>
      <c r="G82" s="25"/>
    </row>
    <row r="83" spans="2:7" x14ac:dyDescent="0.35">
      <c r="B83" s="29"/>
      <c r="C83" s="54" t="s">
        <v>145</v>
      </c>
      <c r="D83" s="57">
        <f>IF(OR(C83="",MONTH(DATE(2027,4,1)+2*7+MOD(MATCH(C83,{"Sunday","Monday","Tuesday","Wednesday","Thursday","Friday","Saturday"},0)-WEEKDAY(DATE(2027,4,1))+7,7))&lt;&gt;4),"",DATE(2027,4,1)+2*7+MOD(MATCH(C83,{"Sunday","Monday","Tuesday","Wednesday","Thursday","Friday","Saturday"},0)-WEEKDAY(DATE(2027,4,1))+7,7))</f>
        <v>46495</v>
      </c>
      <c r="F83" s="69" cm="1">
        <f t="array" ref="F83">SUMPRODUCT(SUMIF(Costs[Code],TRIM(_xlfn.TEXTSPLIT(H94,",")),Costs[Cost]))</f>
        <v>0</v>
      </c>
      <c r="G83" s="25"/>
    </row>
    <row r="84" spans="2:7" x14ac:dyDescent="0.35">
      <c r="B84" s="29"/>
      <c r="C84" s="54" t="s">
        <v>146</v>
      </c>
      <c r="D84" s="57">
        <f>IF(OR(C84="",MONTH(DATE(2027,4,1)+2*7+MOD(MATCH(C84,{"Sunday","Monday","Tuesday","Wednesday","Thursday","Friday","Saturday"},0)-WEEKDAY(DATE(2027,4,1))+7,7))&lt;&gt;4),"",DATE(2027,4,1)+2*7+MOD(MATCH(C84,{"Sunday","Monday","Tuesday","Wednesday","Thursday","Friday","Saturday"},0)-WEEKDAY(DATE(2027,4,1))+7,7))</f>
        <v>46497</v>
      </c>
      <c r="E84" s="69">
        <f>$N$29</f>
        <v>80</v>
      </c>
      <c r="F84" s="69" cm="1">
        <f t="array" ref="F84">SUMPRODUCT(SUMIF(Costs[Code],TRIM(_xlfn.TEXTSPLIT(H95,",")),Costs[Cost]))</f>
        <v>0</v>
      </c>
      <c r="G84" s="25"/>
    </row>
    <row r="85" spans="2:7" x14ac:dyDescent="0.35">
      <c r="B85" s="29"/>
      <c r="C85" s="54" t="s">
        <v>145</v>
      </c>
      <c r="D85" s="57">
        <f>IF(OR(C85="",MONTH(DATE(2027,4,1)+3*7+MOD(MATCH(C85,{"Sunday","Monday","Tuesday","Wednesday","Thursday","Friday","Saturday"},0)-WEEKDAY(DATE(2027,4,1))+7,7))&lt;&gt;4),"",DATE(2027,4,1)+3*7+MOD(MATCH(C85,{"Sunday","Monday","Tuesday","Wednesday","Thursday","Friday","Saturday"},0)-WEEKDAY(DATE(2027,4,1))+7,7))</f>
        <v>46502</v>
      </c>
      <c r="F85" s="69" cm="1">
        <f t="array" ref="F85">SUMPRODUCT(SUMIF(Costs[Code],TRIM(_xlfn.TEXTSPLIT(H96,",")),Costs[Cost]))</f>
        <v>0</v>
      </c>
      <c r="G85" s="30"/>
    </row>
    <row r="86" spans="2:7" x14ac:dyDescent="0.35">
      <c r="B86" s="29"/>
      <c r="C86" s="54" t="s">
        <v>146</v>
      </c>
      <c r="D86" s="57">
        <f>IF(OR(C86="",MONTH(DATE(2027,4,1)+3*7+MOD(MATCH(C86,{"Sunday","Monday","Tuesday","Wednesday","Thursday","Friday","Saturday"},0)-WEEKDAY(DATE(2027,4,1))+7,7))&lt;&gt;4),"",DATE(2027,4,1)+3*7+MOD(MATCH(C86,{"Sunday","Monday","Tuesday","Wednesday","Thursday","Friday","Saturday"},0)-WEEKDAY(DATE(2027,4,1))+7,7))</f>
        <v>46504</v>
      </c>
      <c r="E86" s="69">
        <f>$N$29</f>
        <v>80</v>
      </c>
      <c r="F86" s="69" cm="1">
        <f t="array" ref="F86">SUMPRODUCT(SUMIF(Costs[Code],TRIM(_xlfn.TEXTSPLIT(H97,",")),Costs[Cost]))</f>
        <v>0</v>
      </c>
      <c r="G86" s="30"/>
    </row>
    <row r="87" spans="2:7" ht="15" thickBot="1" x14ac:dyDescent="0.4">
      <c r="B87" s="33"/>
      <c r="C87" s="56"/>
      <c r="D87" s="66"/>
      <c r="E87" s="72">
        <f>SUM(E79:E85)</f>
        <v>240</v>
      </c>
      <c r="F87" s="72">
        <f>SUM(F79:F86)</f>
        <v>0</v>
      </c>
      <c r="G87" s="34">
        <f>B80-F87</f>
        <v>0</v>
      </c>
    </row>
    <row r="88" spans="2:7" x14ac:dyDescent="0.35">
      <c r="B88" s="62" t="s">
        <v>9</v>
      </c>
      <c r="D88" s="67"/>
      <c r="E88" s="53"/>
      <c r="F88" s="53"/>
      <c r="G88" s="36"/>
    </row>
    <row r="89" spans="2:7" x14ac:dyDescent="0.35">
      <c r="B89" s="58"/>
      <c r="C89" s="54" t="s">
        <v>145</v>
      </c>
      <c r="D89" s="57">
        <f>IF(OR(C89="",MONTH(DATE(2027,5,1)+0*7+MOD(MATCH(C89,{"Sunday","Monday","Tuesday","Wednesday","Thursday","Friday","Saturday"},0)-WEEKDAY(DATE(2027,5,1))+7,7))&lt;&gt;5),"",DATE(2027,5,1)+0*7+MOD(MATCH(C89,{"Sunday","Monday","Tuesday","Wednesday","Thursday","Friday","Saturday"},0)-WEEKDAY(DATE(2027,5,1))+7,7))</f>
        <v>46509</v>
      </c>
      <c r="G89" s="25"/>
    </row>
    <row r="90" spans="2:7" x14ac:dyDescent="0.35">
      <c r="B90" s="24"/>
      <c r="C90" s="54" t="s">
        <v>146</v>
      </c>
      <c r="D90" s="57">
        <f>IF(OR(C90="",MONTH(DATE(2027,5,1)+0*7+MOD(MATCH(C90,{"Sunday","Monday","Tuesday","Wednesday","Thursday","Friday","Saturday"},0)-WEEKDAY(DATE(2027,5,1))+7,7))&lt;&gt;5),"",DATE(2027,5,1)+0*7+MOD(MATCH(C90,{"Sunday","Monday","Tuesday","Wednesday","Thursday","Friday","Saturday"},0)-WEEKDAY(DATE(2027,5,1))+7,7))</f>
        <v>46511</v>
      </c>
      <c r="E90" s="69">
        <f>$N$29</f>
        <v>80</v>
      </c>
      <c r="F90" s="69" cm="1">
        <f t="array" ref="F90">SUMPRODUCT(SUMIF(Costs[Code],TRIM(_xlfn.TEXTSPLIT(H101,",")),Costs[Cost]))</f>
        <v>0</v>
      </c>
      <c r="G90" s="25"/>
    </row>
    <row r="91" spans="2:7" x14ac:dyDescent="0.35">
      <c r="B91" s="28"/>
      <c r="C91" s="54" t="s">
        <v>145</v>
      </c>
      <c r="D91" s="57">
        <f>IF(OR(C91="",MONTH(DATE(2027,5,1)+1*7+MOD(MATCH(C91,{"Sunday","Monday","Tuesday","Wednesday","Thursday","Friday","Saturday"},0)-WEEKDAY(DATE(2027,5,1))+7,7))&lt;&gt;5),"",DATE(2027,5,1)+1*7+MOD(MATCH(C91,{"Sunday","Monday","Tuesday","Wednesday","Thursday","Friday","Saturday"},0)-WEEKDAY(DATE(2027,5,1))+7,7))</f>
        <v>46516</v>
      </c>
      <c r="F91" s="69" cm="1">
        <f t="array" ref="F91">SUMPRODUCT(SUMIF(Costs[Code],TRIM(_xlfn.TEXTSPLIT(H102,",")),Costs[Cost]))</f>
        <v>0</v>
      </c>
      <c r="G91" s="25"/>
    </row>
    <row r="92" spans="2:7" x14ac:dyDescent="0.35">
      <c r="B92" s="29"/>
      <c r="C92" s="54" t="s">
        <v>146</v>
      </c>
      <c r="D92" s="57">
        <f>IF(OR(C92="",MONTH(DATE(2027,5,1)+1*7+MOD(MATCH(C92,{"Sunday","Monday","Tuesday","Wednesday","Thursday","Friday","Saturday"},0)-WEEKDAY(DATE(2027,5,1))+7,7))&lt;&gt;5),"",DATE(2027,5,1)+1*7+MOD(MATCH(C92,{"Sunday","Monday","Tuesday","Wednesday","Thursday","Friday","Saturday"},0)-WEEKDAY(DATE(2027,5,1))+7,7))</f>
        <v>46518</v>
      </c>
      <c r="E92" s="69">
        <f>$N$29</f>
        <v>80</v>
      </c>
      <c r="F92" s="69" cm="1">
        <f t="array" ref="F92">SUMPRODUCT(SUMIF(Costs[Code],TRIM(_xlfn.TEXTSPLIT(H103,",")),Costs[Cost]))</f>
        <v>0</v>
      </c>
      <c r="G92" s="25"/>
    </row>
    <row r="93" spans="2:7" x14ac:dyDescent="0.35">
      <c r="B93" s="29"/>
      <c r="C93" s="54" t="s">
        <v>145</v>
      </c>
      <c r="D93" s="57">
        <f>IF(OR(C93="",MONTH(DATE(2027,5,1)+2*7+MOD(MATCH(C93,{"Sunday","Monday","Tuesday","Wednesday","Thursday","Friday","Saturday"},0)-WEEKDAY(DATE(2027,5,1))+7,7))&lt;&gt;5),"",DATE(2027,5,1)+2*7+MOD(MATCH(C93,{"Sunday","Monday","Tuesday","Wednesday","Thursday","Friday","Saturday"},0)-WEEKDAY(DATE(2027,5,1))+7,7))</f>
        <v>46523</v>
      </c>
      <c r="F93" s="69" cm="1">
        <f t="array" ref="F93">SUMPRODUCT(SUMIF(Costs[Code],TRIM(_xlfn.TEXTSPLIT(H104,",")),Costs[Cost]))</f>
        <v>0</v>
      </c>
      <c r="G93" s="25"/>
    </row>
    <row r="94" spans="2:7" x14ac:dyDescent="0.35">
      <c r="B94" s="29"/>
      <c r="C94" s="54" t="s">
        <v>146</v>
      </c>
      <c r="D94" s="57">
        <f>IF(OR(C94="",MONTH(DATE(2027,5,1)+2*7+MOD(MATCH(C94,{"Sunday","Monday","Tuesday","Wednesday","Thursday","Friday","Saturday"},0)-WEEKDAY(DATE(2027,5,1))+7,7))&lt;&gt;5),"",DATE(2027,5,1)+2*7+MOD(MATCH(C94,{"Sunday","Monday","Tuesday","Wednesday","Thursday","Friday","Saturday"},0)-WEEKDAY(DATE(2027,5,1))+7,7))</f>
        <v>46525</v>
      </c>
      <c r="E94" s="69">
        <f>$N$29</f>
        <v>80</v>
      </c>
      <c r="F94" s="69" cm="1">
        <f t="array" ref="F94">SUMPRODUCT(SUMIF(Costs[Code],TRIM(_xlfn.TEXTSPLIT(H105,",")),Costs[Cost]))</f>
        <v>0</v>
      </c>
      <c r="G94" s="25"/>
    </row>
    <row r="95" spans="2:7" x14ac:dyDescent="0.35">
      <c r="B95" s="29"/>
      <c r="C95" s="54" t="s">
        <v>145</v>
      </c>
      <c r="D95" s="57">
        <f>IF(OR(C95="",MONTH(DATE(2027,5,1)+3*7+MOD(MATCH(C95,{"Sunday","Monday","Tuesday","Wednesday","Thursday","Friday","Saturday"},0)-WEEKDAY(DATE(2027,5,1))+7,7))&lt;&gt;5),"",DATE(2027,5,1)+3*7+MOD(MATCH(C95,{"Sunday","Monday","Tuesday","Wednesday","Thursday","Friday","Saturday"},0)-WEEKDAY(DATE(2027,5,1))+7,7))</f>
        <v>46530</v>
      </c>
      <c r="F95" s="69" cm="1">
        <f t="array" ref="F95">SUMPRODUCT(SUMIF(Costs[Code],TRIM(_xlfn.TEXTSPLIT(H106,",")),Costs[Cost]))</f>
        <v>0</v>
      </c>
      <c r="G95" s="30"/>
    </row>
    <row r="96" spans="2:7" x14ac:dyDescent="0.35">
      <c r="B96" s="29"/>
      <c r="C96" s="54" t="s">
        <v>146</v>
      </c>
      <c r="D96" s="57">
        <f>IF(OR(C96="",MONTH(DATE(2027,5,1)+3*7+MOD(MATCH(C96,{"Sunday","Monday","Tuesday","Wednesday","Thursday","Friday","Saturday"},0)-WEEKDAY(DATE(2027,5,1))+7,7))&lt;&gt;5),"",DATE(2027,5,1)+3*7+MOD(MATCH(C96,{"Sunday","Monday","Tuesday","Wednesday","Thursday","Friday","Saturday"},0)-WEEKDAY(DATE(2027,5,1))+7,7))</f>
        <v>46532</v>
      </c>
      <c r="E96" s="69">
        <f>$N$29</f>
        <v>80</v>
      </c>
      <c r="F96" s="69" cm="1">
        <f t="array" ref="F96">SUMPRODUCT(SUMIF(Costs[Code],TRIM(_xlfn.TEXTSPLIT(H107,",")),Costs[Cost]))</f>
        <v>0</v>
      </c>
      <c r="G96" s="30"/>
    </row>
    <row r="97" spans="2:7" x14ac:dyDescent="0.35">
      <c r="B97" s="31"/>
      <c r="C97" s="54" t="s">
        <v>145</v>
      </c>
      <c r="D97" s="57">
        <f>IF(OR(C97="",MONTH(DATE(2027,5,1)+4*7+MOD(MATCH(C97,{"Sunday","Monday","Tuesday","Wednesday","Thursday","Friday","Saturday"},0)-WEEKDAY(DATE(2027,5,1))+7,7))&lt;&gt;5),"",DATE(2027,5,1)+4*7+MOD(MATCH(C97,{"Sunday","Monday","Tuesday","Wednesday","Thursday","Friday","Saturday"},0)-WEEKDAY(DATE(2027,5,1))+7,7))</f>
        <v>46537</v>
      </c>
      <c r="F97" s="69" cm="1">
        <f t="array" ref="F97">SUMPRODUCT(SUMIF(Costs[Code],TRIM(_xlfn.TEXTSPLIT(H108,",")),Costs[Cost]))</f>
        <v>0</v>
      </c>
      <c r="G97" s="32"/>
    </row>
    <row r="98" spans="2:7" ht="15" thickBot="1" x14ac:dyDescent="0.4">
      <c r="B98" s="33"/>
      <c r="C98" s="56"/>
      <c r="D98" s="66"/>
      <c r="E98" s="72">
        <f>SUM(E89:E95)</f>
        <v>240</v>
      </c>
      <c r="F98" s="72">
        <f>SUM(F89:F97)</f>
        <v>0</v>
      </c>
      <c r="G98" s="34">
        <f>B90-F98</f>
        <v>0</v>
      </c>
    </row>
    <row r="99" spans="2:7" x14ac:dyDescent="0.35">
      <c r="B99" s="62" t="s">
        <v>10</v>
      </c>
      <c r="D99" s="67"/>
      <c r="E99" s="53"/>
      <c r="F99" s="53"/>
      <c r="G99" s="36"/>
    </row>
    <row r="100" spans="2:7" x14ac:dyDescent="0.35">
      <c r="B100" s="58"/>
      <c r="C100" s="54" t="s">
        <v>146</v>
      </c>
      <c r="D100" s="57">
        <f>IF(OR(C100="",MONTH(DATE(2027,6,1)+0*7+MOD(MATCH(C100,{"Sunday","Monday","Tuesday","Wednesday","Thursday","Friday","Saturday"},0)-WEEKDAY(DATE(2027,6,1))+7,7))&lt;&gt;6),"",DATE(2027,6,1)+0*7+MOD(MATCH(C100,{"Sunday","Monday","Tuesday","Wednesday","Thursday","Friday","Saturday"},0)-WEEKDAY(DATE(2027,6,1))+7,7))</f>
        <v>46539</v>
      </c>
      <c r="E100" s="69">
        <f>$N$29</f>
        <v>80</v>
      </c>
      <c r="F100" s="69" cm="1">
        <f t="array" ref="F100">SUMPRODUCT(SUMIF(Costs[Code],TRIM(_xlfn.TEXTSPLIT(H111,",")),Costs[Cost]))</f>
        <v>0</v>
      </c>
      <c r="G100" s="25"/>
    </row>
    <row r="101" spans="2:7" x14ac:dyDescent="0.35">
      <c r="B101" s="24"/>
      <c r="C101" s="54" t="s">
        <v>145</v>
      </c>
      <c r="D101" s="57">
        <f>IF(OR(C101="",MONTH(DATE(2027,6,1)+0*7+MOD(MATCH(C101,{"Sunday","Monday","Tuesday","Wednesday","Thursday","Friday","Saturday"},0)-WEEKDAY(DATE(2027,6,1))+7,7))&lt;&gt;6),"",DATE(2027,6,1)+0*7+MOD(MATCH(C101,{"Sunday","Monday","Tuesday","Wednesday","Thursday","Friday","Saturday"},0)-WEEKDAY(DATE(2027,6,1))+7,7))</f>
        <v>46544</v>
      </c>
      <c r="F101" s="69" cm="1">
        <f t="array" ref="F101">SUMPRODUCT(SUMIF(Costs[Code],TRIM(_xlfn.TEXTSPLIT(H112,",")),Costs[Cost]))</f>
        <v>0</v>
      </c>
      <c r="G101" s="25"/>
    </row>
    <row r="102" spans="2:7" x14ac:dyDescent="0.35">
      <c r="B102" s="28"/>
      <c r="C102" s="54" t="s">
        <v>146</v>
      </c>
      <c r="D102" s="57">
        <f>IF(OR(C102="",MONTH(DATE(2027,6,1)+1*7+MOD(MATCH(C102,{"Sunday","Monday","Tuesday","Wednesday","Thursday","Friday","Saturday"},0)-WEEKDAY(DATE(2027,6,1))+7,7))&lt;&gt;6),"",DATE(2027,6,1)+1*7+MOD(MATCH(C102,{"Sunday","Monday","Tuesday","Wednesday","Thursday","Friday","Saturday"},0)-WEEKDAY(DATE(2027,6,1))+7,7))</f>
        <v>46546</v>
      </c>
      <c r="E102" s="69">
        <f>$N$29</f>
        <v>80</v>
      </c>
      <c r="F102" s="69" cm="1">
        <f t="array" ref="F102">SUMPRODUCT(SUMIF(Costs[Code],TRIM(_xlfn.TEXTSPLIT(H113,",")),Costs[Cost]))</f>
        <v>0</v>
      </c>
      <c r="G102" s="25"/>
    </row>
    <row r="103" spans="2:7" x14ac:dyDescent="0.35">
      <c r="B103" s="29"/>
      <c r="C103" s="54" t="s">
        <v>145</v>
      </c>
      <c r="D103" s="57">
        <f>IF(OR(C103="",MONTH(DATE(2027,6,1)+1*7+MOD(MATCH(C103,{"Sunday","Monday","Tuesday","Wednesday","Thursday","Friday","Saturday"},0)-WEEKDAY(DATE(2027,6,1))+7,7))&lt;&gt;6),"",DATE(2027,6,1)+1*7+MOD(MATCH(C103,{"Sunday","Monday","Tuesday","Wednesday","Thursday","Friday","Saturday"},0)-WEEKDAY(DATE(2027,6,1))+7,7))</f>
        <v>46551</v>
      </c>
      <c r="F103" s="69" cm="1">
        <f t="array" ref="F103">SUMPRODUCT(SUMIF(Costs[Code],TRIM(_xlfn.TEXTSPLIT(H114,",")),Costs[Cost]))</f>
        <v>0</v>
      </c>
      <c r="G103" s="25"/>
    </row>
    <row r="104" spans="2:7" x14ac:dyDescent="0.35">
      <c r="B104" s="29"/>
      <c r="C104" s="54" t="s">
        <v>146</v>
      </c>
      <c r="D104" s="57">
        <f>IF(OR(C104="",MONTH(DATE(2027,6,1)+2*7+MOD(MATCH(C104,{"Sunday","Monday","Tuesday","Wednesday","Thursday","Friday","Saturday"},0)-WEEKDAY(DATE(2027,6,1))+7,7))&lt;&gt;6),"",DATE(2027,6,1)+2*7+MOD(MATCH(C104,{"Sunday","Monday","Tuesday","Wednesday","Thursday","Friday","Saturday"},0)-WEEKDAY(DATE(2027,6,1))+7,7))</f>
        <v>46553</v>
      </c>
      <c r="E104" s="69">
        <f>$N$29</f>
        <v>80</v>
      </c>
      <c r="F104" s="69" cm="1">
        <f t="array" ref="F104">SUMPRODUCT(SUMIF(Costs[Code],TRIM(_xlfn.TEXTSPLIT(H115,",")),Costs[Cost]))</f>
        <v>0</v>
      </c>
      <c r="G104" s="25"/>
    </row>
    <row r="105" spans="2:7" x14ac:dyDescent="0.35">
      <c r="B105" s="29"/>
      <c r="C105" s="54" t="s">
        <v>145</v>
      </c>
      <c r="D105" s="57">
        <f>IF(OR(C105="",MONTH(DATE(2027,6,1)+2*7+MOD(MATCH(C105,{"Sunday","Monday","Tuesday","Wednesday","Thursday","Friday","Saturday"},0)-WEEKDAY(DATE(2027,6,1))+7,7))&lt;&gt;6),"",DATE(2027,6,1)+2*7+MOD(MATCH(C105,{"Sunday","Monday","Tuesday","Wednesday","Thursday","Friday","Saturday"},0)-WEEKDAY(DATE(2027,6,1))+7,7))</f>
        <v>46558</v>
      </c>
      <c r="F105" s="69" cm="1">
        <f t="array" ref="F105">SUMPRODUCT(SUMIF(Costs[Code],TRIM(_xlfn.TEXTSPLIT(H116,",")),Costs[Cost]))</f>
        <v>0</v>
      </c>
      <c r="G105" s="25"/>
    </row>
    <row r="106" spans="2:7" x14ac:dyDescent="0.35">
      <c r="B106" s="29"/>
      <c r="C106" s="54" t="s">
        <v>146</v>
      </c>
      <c r="D106" s="57">
        <f>IF(OR(C106="",MONTH(DATE(2027,6,1)+3*7+MOD(MATCH(C106,{"Sunday","Monday","Tuesday","Wednesday","Thursday","Friday","Saturday"},0)-WEEKDAY(DATE(2027,6,1))+7,7))&lt;&gt;6),"",DATE(2027,6,1)+3*7+MOD(MATCH(C106,{"Sunday","Monday","Tuesday","Wednesday","Thursday","Friday","Saturday"},0)-WEEKDAY(DATE(2027,6,1))+7,7))</f>
        <v>46560</v>
      </c>
      <c r="E106" s="69">
        <f>$N$29</f>
        <v>80</v>
      </c>
      <c r="F106" s="69" cm="1">
        <f t="array" ref="F106">SUMPRODUCT(SUMIF(Costs[Code],TRIM(_xlfn.TEXTSPLIT(H117,",")),Costs[Cost]))</f>
        <v>0</v>
      </c>
      <c r="G106" s="30"/>
    </row>
    <row r="107" spans="2:7" x14ac:dyDescent="0.35">
      <c r="B107" s="29"/>
      <c r="C107" s="54" t="s">
        <v>145</v>
      </c>
      <c r="D107" s="57">
        <f>IF(OR(C107="",MONTH(DATE(2027,6,1)+3*7+MOD(MATCH(C107,{"Sunday","Monday","Tuesday","Wednesday","Thursday","Friday","Saturday"},0)-WEEKDAY(DATE(2027,6,1))+7,7))&lt;&gt;6),"",DATE(2027,6,1)+3*7+MOD(MATCH(C107,{"Sunday","Monday","Tuesday","Wednesday","Thursday","Friday","Saturday"},0)-WEEKDAY(DATE(2027,6,1))+7,7))</f>
        <v>46565</v>
      </c>
      <c r="F107" s="69" cm="1">
        <f t="array" ref="F107">SUMPRODUCT(SUMIF(Costs[Code],TRIM(_xlfn.TEXTSPLIT(H118,",")),Costs[Cost]))</f>
        <v>0</v>
      </c>
      <c r="G107" s="30"/>
    </row>
    <row r="108" spans="2:7" x14ac:dyDescent="0.35">
      <c r="B108" s="31"/>
      <c r="C108" s="54" t="s">
        <v>146</v>
      </c>
      <c r="D108" s="57">
        <f>IF(OR(C108="",MONTH(DATE(2027,6,1)+4*7+MOD(MATCH(C108,{"Sunday","Monday","Tuesday","Wednesday","Thursday","Friday","Saturday"},0)-WEEKDAY(DATE(2027,6,1))+7,7))&lt;&gt;6),"",DATE(2027,6,1)+4*7+MOD(MATCH(C108,{"Sunday","Monday","Tuesday","Wednesday","Thursday","Friday","Saturday"},0)-WEEKDAY(DATE(2027,6,1))+7,7))</f>
        <v>46567</v>
      </c>
      <c r="E108" s="69">
        <f>$N$29</f>
        <v>80</v>
      </c>
      <c r="F108" s="69" cm="1">
        <f t="array" ref="F108">SUMPRODUCT(SUMIF(Costs[Code],TRIM(_xlfn.TEXTSPLIT(H119,",")),Costs[Cost]))</f>
        <v>0</v>
      </c>
      <c r="G108" s="32"/>
    </row>
    <row r="109" spans="2:7" ht="15" thickBot="1" x14ac:dyDescent="0.4">
      <c r="B109" s="33"/>
      <c r="C109" s="56"/>
      <c r="D109" s="66"/>
      <c r="E109" s="72">
        <f>SUM(E100:E106)</f>
        <v>320</v>
      </c>
      <c r="F109" s="72">
        <f>SUM(F100:F108)</f>
        <v>0</v>
      </c>
      <c r="G109" s="34">
        <f>B101-F109</f>
        <v>0</v>
      </c>
    </row>
    <row r="110" spans="2:7" x14ac:dyDescent="0.35">
      <c r="B110" s="62" t="s">
        <v>135</v>
      </c>
      <c r="D110" s="67"/>
      <c r="E110" s="53"/>
      <c r="F110" s="53"/>
      <c r="G110" s="36"/>
    </row>
    <row r="111" spans="2:7" x14ac:dyDescent="0.35">
      <c r="B111" s="58"/>
      <c r="C111" s="54" t="s">
        <v>145</v>
      </c>
      <c r="D111" s="57">
        <f>IF(OR(C111="",MONTH(DATE(2027,7,1)+0*7+MOD(MATCH(C111,{"Sunday","Monday","Tuesday","Wednesday","Thursday","Friday","Saturday"},0)-WEEKDAY(DATE(2027,7,1))+7,7))&lt;&gt;7),"",DATE(2027,7,1)+0*7+MOD(MATCH(C111,{"Sunday","Monday","Tuesday","Wednesday","Thursday","Friday","Saturday"},0)-WEEKDAY(DATE(2027,7,1))+7,7))</f>
        <v>46572</v>
      </c>
      <c r="F111" s="69" cm="1">
        <f t="array" ref="F111">SUMPRODUCT(SUMIF(Costs[Code],TRIM(_xlfn.TEXTSPLIT(H122,",")),Costs[Cost]))</f>
        <v>0</v>
      </c>
      <c r="G111" s="25"/>
    </row>
    <row r="112" spans="2:7" x14ac:dyDescent="0.35">
      <c r="B112" s="24"/>
      <c r="C112" s="54" t="s">
        <v>146</v>
      </c>
      <c r="D112" s="57">
        <f>IF(OR(C112="",MONTH(DATE(2027,7,1)+0*7+MOD(MATCH(C112,{"Sunday","Monday","Tuesday","Wednesday","Thursday","Friday","Saturday"},0)-WEEKDAY(DATE(2027,7,1))+7,7))&lt;&gt;7),"",DATE(2027,7,1)+0*7+MOD(MATCH(C112,{"Sunday","Monday","Tuesday","Wednesday","Thursday","Friday","Saturday"},0)-WEEKDAY(DATE(2027,7,1))+7,7))</f>
        <v>46574</v>
      </c>
      <c r="E112" s="69">
        <f>$N$29</f>
        <v>80</v>
      </c>
      <c r="F112" s="69" cm="1">
        <f t="array" ref="F112">SUMPRODUCT(SUMIF(Costs[Code],TRIM(_xlfn.TEXTSPLIT(H123,",")),Costs[Cost]))</f>
        <v>0</v>
      </c>
      <c r="G112" s="25"/>
    </row>
    <row r="113" spans="2:7" x14ac:dyDescent="0.35">
      <c r="B113" s="28"/>
      <c r="C113" s="54" t="s">
        <v>145</v>
      </c>
      <c r="D113" s="57">
        <f>IF(OR(C113="",MONTH(DATE(2027,7,1)+1*7+MOD(MATCH(C113,{"Sunday","Monday","Tuesday","Wednesday","Thursday","Friday","Saturday"},0)-WEEKDAY(DATE(2027,7,1))+7,7))&lt;&gt;7),"",DATE(2027,7,1)+1*7+MOD(MATCH(C113,{"Sunday","Monday","Tuesday","Wednesday","Thursday","Friday","Saturday"},0)-WEEKDAY(DATE(2027,7,1))+7,7))</f>
        <v>46579</v>
      </c>
      <c r="F113" s="69" cm="1">
        <f t="array" ref="F113">SUMPRODUCT(SUMIF(Costs[Code],TRIM(_xlfn.TEXTSPLIT(H124,",")),Costs[Cost]))</f>
        <v>0</v>
      </c>
      <c r="G113" s="25"/>
    </row>
    <row r="114" spans="2:7" x14ac:dyDescent="0.35">
      <c r="B114" s="29"/>
      <c r="C114" s="54" t="s">
        <v>146</v>
      </c>
      <c r="D114" s="57">
        <f>IF(OR(C114="",MONTH(DATE(2027,7,1)+1*7+MOD(MATCH(C114,{"Sunday","Monday","Tuesday","Wednesday","Thursday","Friday","Saturday"},0)-WEEKDAY(DATE(2027,7,1))+7,7))&lt;&gt;7),"",DATE(2027,7,1)+1*7+MOD(MATCH(C114,{"Sunday","Monday","Tuesday","Wednesday","Thursday","Friday","Saturday"},0)-WEEKDAY(DATE(2027,7,1))+7,7))</f>
        <v>46581</v>
      </c>
      <c r="E114" s="69">
        <f>$N$29</f>
        <v>80</v>
      </c>
      <c r="F114" s="69" cm="1">
        <f t="array" ref="F114">SUMPRODUCT(SUMIF(Costs[Code],TRIM(_xlfn.TEXTSPLIT(H125,",")),Costs[Cost]))</f>
        <v>0</v>
      </c>
      <c r="G114" s="25"/>
    </row>
    <row r="115" spans="2:7" x14ac:dyDescent="0.35">
      <c r="B115" s="29"/>
      <c r="C115" s="54" t="s">
        <v>145</v>
      </c>
      <c r="D115" s="57">
        <f>IF(OR(C115="",MONTH(DATE(2027,7,1)+2*7+MOD(MATCH(C115,{"Sunday","Monday","Tuesday","Wednesday","Thursday","Friday","Saturday"},0)-WEEKDAY(DATE(2027,7,1))+7,7))&lt;&gt;7),"",DATE(2027,7,1)+2*7+MOD(MATCH(C115,{"Sunday","Monday","Tuesday","Wednesday","Thursday","Friday","Saturday"},0)-WEEKDAY(DATE(2027,7,1))+7,7))</f>
        <v>46586</v>
      </c>
      <c r="F115" s="69" cm="1">
        <f t="array" ref="F115">SUMPRODUCT(SUMIF(Costs[Code],TRIM(_xlfn.TEXTSPLIT(H126,",")),Costs[Cost]))</f>
        <v>0</v>
      </c>
      <c r="G115" s="25"/>
    </row>
    <row r="116" spans="2:7" x14ac:dyDescent="0.35">
      <c r="B116" s="29"/>
      <c r="C116" s="54" t="s">
        <v>146</v>
      </c>
      <c r="D116" s="57">
        <f>IF(OR(C116="",MONTH(DATE(2027,7,1)+2*7+MOD(MATCH(C116,{"Sunday","Monday","Tuesday","Wednesday","Thursday","Friday","Saturday"},0)-WEEKDAY(DATE(2027,7,1))+7,7))&lt;&gt;7),"",DATE(2027,7,1)+2*7+MOD(MATCH(C116,{"Sunday","Monday","Tuesday","Wednesday","Thursday","Friday","Saturday"},0)-WEEKDAY(DATE(2027,7,1))+7,7))</f>
        <v>46588</v>
      </c>
      <c r="E116" s="69">
        <f>$N$29</f>
        <v>80</v>
      </c>
      <c r="F116" s="69" cm="1">
        <f t="array" ref="F116">SUMPRODUCT(SUMIF(Costs[Code],TRIM(_xlfn.TEXTSPLIT(H127,",")),Costs[Cost]))</f>
        <v>0</v>
      </c>
      <c r="G116" s="25"/>
    </row>
    <row r="117" spans="2:7" x14ac:dyDescent="0.35">
      <c r="B117" s="29"/>
      <c r="C117" s="54" t="s">
        <v>145</v>
      </c>
      <c r="D117" s="57">
        <f>IF(OR(C117="",MONTH(DATE(2027,7,1)+3*7+MOD(MATCH(C117,{"Sunday","Monday","Tuesday","Wednesday","Thursday","Friday","Saturday"},0)-WEEKDAY(DATE(2027,7,1))+7,7))&lt;&gt;7),"",DATE(2027,7,1)+3*7+MOD(MATCH(C117,{"Sunday","Monday","Tuesday","Wednesday","Thursday","Friday","Saturday"},0)-WEEKDAY(DATE(2027,7,1))+7,7))</f>
        <v>46593</v>
      </c>
      <c r="F117" s="69" cm="1">
        <f t="array" ref="F117">SUMPRODUCT(SUMIF(Costs[Code],TRIM(_xlfn.TEXTSPLIT(H128,",")),Costs[Cost]))</f>
        <v>0</v>
      </c>
      <c r="G117" s="30"/>
    </row>
    <row r="118" spans="2:7" x14ac:dyDescent="0.35">
      <c r="B118" s="29"/>
      <c r="C118" s="54" t="s">
        <v>146</v>
      </c>
      <c r="D118" s="57">
        <f>IF(OR(C118="",MONTH(DATE(2027,7,1)+3*7+MOD(MATCH(C118,{"Sunday","Monday","Tuesday","Wednesday","Thursday","Friday","Saturday"},0)-WEEKDAY(DATE(2027,7,1))+7,7))&lt;&gt;7),"",DATE(2027,7,1)+3*7+MOD(MATCH(C118,{"Sunday","Monday","Tuesday","Wednesday","Thursday","Friday","Saturday"},0)-WEEKDAY(DATE(2027,7,1))+7,7))</f>
        <v>46595</v>
      </c>
      <c r="E118" s="69">
        <f>$N$29</f>
        <v>80</v>
      </c>
      <c r="F118" s="69" cm="1">
        <f t="array" ref="F118">SUMPRODUCT(SUMIF(Costs[Code],TRIM(_xlfn.TEXTSPLIT(H129,",")),Costs[Cost]))</f>
        <v>0</v>
      </c>
      <c r="G118" s="30"/>
    </row>
    <row r="119" spans="2:7" ht="15" thickBot="1" x14ac:dyDescent="0.4">
      <c r="B119" s="33"/>
      <c r="C119" s="56"/>
      <c r="D119" s="66"/>
      <c r="E119" s="72">
        <f>SUM(E111:E117)</f>
        <v>240</v>
      </c>
      <c r="F119" s="72">
        <f>SUM(F111:F118)</f>
        <v>0</v>
      </c>
      <c r="G119" s="34">
        <f>B112-F119</f>
        <v>0</v>
      </c>
    </row>
    <row r="120" spans="2:7" x14ac:dyDescent="0.35">
      <c r="B120" s="62" t="s">
        <v>136</v>
      </c>
      <c r="D120" s="67"/>
      <c r="E120" s="53"/>
      <c r="F120" s="53"/>
      <c r="G120" s="36"/>
    </row>
    <row r="121" spans="2:7" x14ac:dyDescent="0.35">
      <c r="B121" s="58"/>
      <c r="C121" s="54" t="s">
        <v>145</v>
      </c>
      <c r="D121" s="57">
        <f>IF(OR(C121="",MONTH(DATE(2027,8,1)+0*7+MOD(MATCH(C121,{"Sunday","Monday","Tuesday","Wednesday","Thursday","Friday","Saturday"},0)-WEEKDAY(DATE(2027,8,1))+7,7))&lt;&gt;8),"",DATE(2027,8,1)+0*7+MOD(MATCH(C121,{"Sunday","Monday","Tuesday","Wednesday","Thursday","Friday","Saturday"},0)-WEEKDAY(DATE(2027,8,1))+7,7))</f>
        <v>46600</v>
      </c>
      <c r="F121" s="69" cm="1">
        <f t="array" ref="F121">SUMPRODUCT(SUMIF(Costs[Code],TRIM(_xlfn.TEXTSPLIT(H132,",")),Costs[Cost]))</f>
        <v>0</v>
      </c>
      <c r="G121" s="25"/>
    </row>
    <row r="122" spans="2:7" x14ac:dyDescent="0.35">
      <c r="B122" s="24"/>
      <c r="C122" s="54" t="s">
        <v>146</v>
      </c>
      <c r="D122" s="57">
        <f>IF(OR(C122="",MONTH(DATE(2027,8,1)+0*7+MOD(MATCH(C122,{"Sunday","Monday","Tuesday","Wednesday","Thursday","Friday","Saturday"},0)-WEEKDAY(DATE(2027,8,1))+7,7))&lt;&gt;8),"",DATE(2027,8,1)+0*7+MOD(MATCH(C122,{"Sunday","Monday","Tuesday","Wednesday","Thursday","Friday","Saturday"},0)-WEEKDAY(DATE(2027,8,1))+7,7))</f>
        <v>46602</v>
      </c>
      <c r="E122" s="69">
        <f>$N$29</f>
        <v>80</v>
      </c>
      <c r="F122" s="69" cm="1">
        <f t="array" ref="F122">SUMPRODUCT(SUMIF(Costs[Code],TRIM(_xlfn.TEXTSPLIT(H133,",")),Costs[Cost]))</f>
        <v>0</v>
      </c>
      <c r="G122" s="25"/>
    </row>
    <row r="123" spans="2:7" x14ac:dyDescent="0.35">
      <c r="B123" s="28"/>
      <c r="C123" s="54" t="s">
        <v>145</v>
      </c>
      <c r="D123" s="57">
        <f>IF(OR(C123="",MONTH(DATE(2027,8,1)+1*7+MOD(MATCH(C123,{"Sunday","Monday","Tuesday","Wednesday","Thursday","Friday","Saturday"},0)-WEEKDAY(DATE(2027,8,1))+7,7))&lt;&gt;8),"",DATE(2027,8,1)+1*7+MOD(MATCH(C123,{"Sunday","Monday","Tuesday","Wednesday","Thursday","Friday","Saturday"},0)-WEEKDAY(DATE(2027,8,1))+7,7))</f>
        <v>46607</v>
      </c>
      <c r="F123" s="69" cm="1">
        <f t="array" ref="F123">SUMPRODUCT(SUMIF(Costs[Code],TRIM(_xlfn.TEXTSPLIT(H134,",")),Costs[Cost]))</f>
        <v>0</v>
      </c>
      <c r="G123" s="25"/>
    </row>
    <row r="124" spans="2:7" x14ac:dyDescent="0.35">
      <c r="B124" s="29"/>
      <c r="C124" s="54" t="s">
        <v>146</v>
      </c>
      <c r="D124" s="57">
        <f>IF(OR(C124="",MONTH(DATE(2027,8,1)+1*7+MOD(MATCH(C124,{"Sunday","Monday","Tuesday","Wednesday","Thursday","Friday","Saturday"},0)-WEEKDAY(DATE(2027,8,1))+7,7))&lt;&gt;8),"",DATE(2027,8,1)+1*7+MOD(MATCH(C124,{"Sunday","Monday","Tuesday","Wednesday","Thursday","Friday","Saturday"},0)-WEEKDAY(DATE(2027,8,1))+7,7))</f>
        <v>46609</v>
      </c>
      <c r="E124" s="69">
        <f>$N$29</f>
        <v>80</v>
      </c>
      <c r="F124" s="69" cm="1">
        <f t="array" ref="F124">SUMPRODUCT(SUMIF(Costs[Code],TRIM(_xlfn.TEXTSPLIT(H135,",")),Costs[Cost]))</f>
        <v>0</v>
      </c>
      <c r="G124" s="25"/>
    </row>
    <row r="125" spans="2:7" x14ac:dyDescent="0.35">
      <c r="B125" s="29"/>
      <c r="C125" s="54" t="s">
        <v>145</v>
      </c>
      <c r="D125" s="57">
        <f>IF(OR(C125="",MONTH(DATE(2027,8,1)+2*7+MOD(MATCH(C125,{"Sunday","Monday","Tuesday","Wednesday","Thursday","Friday","Saturday"},0)-WEEKDAY(DATE(2027,8,1))+7,7))&lt;&gt;8),"",DATE(2027,8,1)+2*7+MOD(MATCH(C125,{"Sunday","Monday","Tuesday","Wednesday","Thursday","Friday","Saturday"},0)-WEEKDAY(DATE(2027,8,1))+7,7))</f>
        <v>46614</v>
      </c>
      <c r="F125" s="69" cm="1">
        <f t="array" ref="F125">SUMPRODUCT(SUMIF(Costs[Code],TRIM(_xlfn.TEXTSPLIT(H136,",")),Costs[Cost]))</f>
        <v>0</v>
      </c>
      <c r="G125" s="25"/>
    </row>
    <row r="126" spans="2:7" x14ac:dyDescent="0.35">
      <c r="B126" s="29"/>
      <c r="C126" s="54" t="s">
        <v>146</v>
      </c>
      <c r="D126" s="57">
        <f>IF(OR(C126="",MONTH(DATE(2027,8,1)+2*7+MOD(MATCH(C126,{"Sunday","Monday","Tuesday","Wednesday","Thursday","Friday","Saturday"},0)-WEEKDAY(DATE(2027,8,1))+7,7))&lt;&gt;8),"",DATE(2027,8,1)+2*7+MOD(MATCH(C126,{"Sunday","Monday","Tuesday","Wednesday","Thursday","Friday","Saturday"},0)-WEEKDAY(DATE(2027,8,1))+7,7))</f>
        <v>46616</v>
      </c>
      <c r="E126" s="69">
        <f>$N$29</f>
        <v>80</v>
      </c>
      <c r="F126" s="69" cm="1">
        <f t="array" ref="F126">SUMPRODUCT(SUMIF(Costs[Code],TRIM(_xlfn.TEXTSPLIT(H137,",")),Costs[Cost]))</f>
        <v>0</v>
      </c>
      <c r="G126" s="25"/>
    </row>
    <row r="127" spans="2:7" x14ac:dyDescent="0.35">
      <c r="B127" s="29"/>
      <c r="C127" s="54" t="s">
        <v>145</v>
      </c>
      <c r="D127" s="57">
        <f>IF(OR(C127="",MONTH(DATE(2027,8,1)+3*7+MOD(MATCH(C127,{"Sunday","Monday","Tuesday","Wednesday","Thursday","Friday","Saturday"},0)-WEEKDAY(DATE(2027,8,1))+7,7))&lt;&gt;8),"",DATE(2027,8,1)+3*7+MOD(MATCH(C127,{"Sunday","Monday","Tuesday","Wednesday","Thursday","Friday","Saturday"},0)-WEEKDAY(DATE(2027,8,1))+7,7))</f>
        <v>46621</v>
      </c>
      <c r="F127" s="69" cm="1">
        <f t="array" ref="F127">SUMPRODUCT(SUMIF(Costs[Code],TRIM(_xlfn.TEXTSPLIT(H138,",")),Costs[Cost]))</f>
        <v>0</v>
      </c>
      <c r="G127" s="30"/>
    </row>
    <row r="128" spans="2:7" x14ac:dyDescent="0.35">
      <c r="B128" s="29"/>
      <c r="C128" s="54" t="s">
        <v>146</v>
      </c>
      <c r="D128" s="57">
        <f>IF(OR(C128="",MONTH(DATE(2027,8,1)+3*7+MOD(MATCH(C128,{"Sunday","Monday","Tuesday","Wednesday","Thursday","Friday","Saturday"},0)-WEEKDAY(DATE(2027,8,1))+7,7))&lt;&gt;8),"",DATE(2027,8,1)+3*7+MOD(MATCH(C128,{"Sunday","Monday","Tuesday","Wednesday","Thursday","Friday","Saturday"},0)-WEEKDAY(DATE(2027,8,1))+7,7))</f>
        <v>46623</v>
      </c>
      <c r="E128" s="69">
        <f>$N$29</f>
        <v>80</v>
      </c>
      <c r="F128" s="69" cm="1">
        <f t="array" ref="F128">SUMPRODUCT(SUMIF(Costs[Code],TRIM(_xlfn.TEXTSPLIT(H139,",")),Costs[Cost]))</f>
        <v>0</v>
      </c>
      <c r="G128" s="30"/>
    </row>
    <row r="129" spans="1:8" x14ac:dyDescent="0.35">
      <c r="B129" s="31"/>
      <c r="C129" s="54" t="s">
        <v>145</v>
      </c>
      <c r="D129" s="57">
        <f>IF(OR(C129="",MONTH(DATE(2027,8,1)+4*7+MOD(MATCH(C129,{"Sunday","Monday","Tuesday","Wednesday","Thursday","Friday","Saturday"},0)-WEEKDAY(DATE(2027,8,1))+7,7))&lt;&gt;8),"",DATE(2027,8,1)+4*7+MOD(MATCH(C129,{"Sunday","Monday","Tuesday","Wednesday","Thursday","Friday","Saturday"},0)-WEEKDAY(DATE(2027,8,1))+7,7))</f>
        <v>46628</v>
      </c>
      <c r="F129" s="69" cm="1">
        <f t="array" ref="F129">SUMPRODUCT(SUMIF(Costs[Code],TRIM(_xlfn.TEXTSPLIT(H140,",")),Costs[Cost]))</f>
        <v>0</v>
      </c>
      <c r="G129" s="32"/>
    </row>
    <row r="130" spans="1:8" ht="15" thickBot="1" x14ac:dyDescent="0.4">
      <c r="B130" s="33"/>
      <c r="C130" s="56"/>
      <c r="D130" s="66"/>
      <c r="E130" s="72">
        <f>SUM(E121:E127)</f>
        <v>240</v>
      </c>
      <c r="F130" s="72">
        <f>SUM(F121:F129)</f>
        <v>0</v>
      </c>
      <c r="G130" s="34">
        <f>B122-F130</f>
        <v>0</v>
      </c>
    </row>
    <row r="131" spans="1:8" x14ac:dyDescent="0.35">
      <c r="B131"/>
      <c r="C131"/>
      <c r="D131" s="68"/>
      <c r="E131" s="73"/>
      <c r="F131" s="73"/>
      <c r="G131"/>
    </row>
    <row r="132" spans="1:8" x14ac:dyDescent="0.35">
      <c r="B132"/>
      <c r="C132"/>
      <c r="D132" s="68"/>
      <c r="E132" s="73"/>
      <c r="F132" s="73"/>
      <c r="G132"/>
    </row>
    <row r="133" spans="1:8" x14ac:dyDescent="0.35">
      <c r="B133"/>
      <c r="C133"/>
      <c r="D133" s="68"/>
      <c r="E133" s="73"/>
      <c r="F133" s="73"/>
      <c r="G133"/>
    </row>
    <row r="134" spans="1:8" x14ac:dyDescent="0.35">
      <c r="B134"/>
      <c r="C134"/>
      <c r="D134" s="68"/>
      <c r="E134" s="73"/>
      <c r="F134" s="73"/>
      <c r="G134"/>
    </row>
    <row r="135" spans="1:8" x14ac:dyDescent="0.35">
      <c r="B135"/>
      <c r="C135"/>
      <c r="D135" s="68"/>
      <c r="E135" s="73"/>
      <c r="F135" s="73"/>
      <c r="G135"/>
    </row>
    <row r="136" spans="1:8" x14ac:dyDescent="0.35">
      <c r="B136"/>
      <c r="C136"/>
      <c r="D136" s="68"/>
      <c r="E136" s="73"/>
      <c r="F136" s="73"/>
      <c r="G136"/>
    </row>
    <row r="137" spans="1:8" x14ac:dyDescent="0.35">
      <c r="B137"/>
      <c r="C137"/>
      <c r="D137" s="68"/>
      <c r="E137" s="73"/>
      <c r="F137" s="73"/>
      <c r="G137"/>
    </row>
    <row r="138" spans="1:8" x14ac:dyDescent="0.35">
      <c r="B138"/>
      <c r="C138"/>
      <c r="D138" s="68"/>
      <c r="E138" s="73"/>
      <c r="F138" s="73"/>
      <c r="G138"/>
    </row>
    <row r="139" spans="1:8" x14ac:dyDescent="0.35">
      <c r="B139"/>
      <c r="C139"/>
      <c r="D139" s="68"/>
      <c r="E139" s="73"/>
      <c r="F139" s="73"/>
      <c r="G139"/>
    </row>
    <row r="140" spans="1:8" x14ac:dyDescent="0.35">
      <c r="B140"/>
      <c r="C140"/>
      <c r="D140" s="68"/>
      <c r="E140" s="73"/>
      <c r="F140" s="73"/>
      <c r="G140"/>
    </row>
    <row r="141" spans="1:8" x14ac:dyDescent="0.35">
      <c r="B141"/>
      <c r="C141"/>
      <c r="D141" s="68"/>
      <c r="E141" s="73"/>
      <c r="F141" s="73"/>
      <c r="G141"/>
    </row>
    <row r="142" spans="1:8" x14ac:dyDescent="0.35">
      <c r="B142"/>
      <c r="C142"/>
      <c r="D142" s="68"/>
      <c r="E142" s="73"/>
      <c r="F142" s="73"/>
      <c r="G142"/>
    </row>
    <row r="143" spans="1:8" x14ac:dyDescent="0.35">
      <c r="A143"/>
      <c r="B143"/>
      <c r="C143"/>
      <c r="D143" s="68"/>
      <c r="E143" s="73"/>
      <c r="F143" s="73"/>
      <c r="G143"/>
      <c r="H143"/>
    </row>
    <row r="144" spans="1:8" x14ac:dyDescent="0.35">
      <c r="A144"/>
      <c r="B144"/>
      <c r="C144"/>
      <c r="D144" s="68"/>
      <c r="E144" s="73"/>
      <c r="F144" s="73"/>
      <c r="G144"/>
      <c r="H144"/>
    </row>
    <row r="145" spans="4:6" customFormat="1" x14ac:dyDescent="0.35">
      <c r="D145" s="68"/>
      <c r="E145" s="73"/>
      <c r="F145" s="73"/>
    </row>
    <row r="146" spans="4:6" customFormat="1" x14ac:dyDescent="0.35">
      <c r="D146" s="68"/>
      <c r="E146" s="73"/>
      <c r="F146" s="73"/>
    </row>
    <row r="147" spans="4:6" customFormat="1" x14ac:dyDescent="0.35">
      <c r="D147" s="68"/>
      <c r="E147" s="73"/>
      <c r="F147" s="73"/>
    </row>
    <row r="148" spans="4:6" customFormat="1" x14ac:dyDescent="0.35">
      <c r="D148" s="68"/>
      <c r="E148" s="73"/>
      <c r="F148" s="73"/>
    </row>
    <row r="149" spans="4:6" customFormat="1" x14ac:dyDescent="0.35">
      <c r="D149" s="68"/>
      <c r="E149" s="73"/>
      <c r="F149" s="73"/>
    </row>
    <row r="150" spans="4:6" customFormat="1" x14ac:dyDescent="0.35">
      <c r="D150" s="68"/>
      <c r="E150" s="73"/>
      <c r="F150" s="73"/>
    </row>
    <row r="151" spans="4:6" customFormat="1" x14ac:dyDescent="0.35">
      <c r="D151" s="68"/>
      <c r="E151" s="73"/>
      <c r="F151" s="73"/>
    </row>
    <row r="152" spans="4:6" customFormat="1" x14ac:dyDescent="0.35">
      <c r="D152" s="68"/>
      <c r="E152" s="73"/>
      <c r="F152" s="73"/>
    </row>
    <row r="153" spans="4:6" customFormat="1" x14ac:dyDescent="0.35">
      <c r="D153" s="68"/>
      <c r="E153" s="73"/>
      <c r="F153" s="73"/>
    </row>
    <row r="154" spans="4:6" customFormat="1" x14ac:dyDescent="0.35">
      <c r="D154" s="68"/>
      <c r="E154" s="73"/>
      <c r="F154" s="73"/>
    </row>
    <row r="155" spans="4:6" customFormat="1" x14ac:dyDescent="0.35">
      <c r="D155" s="68"/>
      <c r="E155" s="73"/>
      <c r="F155" s="73"/>
    </row>
    <row r="156" spans="4:6" customFormat="1" x14ac:dyDescent="0.35">
      <c r="D156" s="68"/>
      <c r="E156" s="73"/>
      <c r="F156" s="73"/>
    </row>
    <row r="157" spans="4:6" customFormat="1" x14ac:dyDescent="0.35">
      <c r="D157" s="68"/>
      <c r="E157" s="73"/>
      <c r="F157" s="73"/>
    </row>
    <row r="158" spans="4:6" customFormat="1" x14ac:dyDescent="0.35">
      <c r="D158" s="68"/>
      <c r="E158" s="73"/>
      <c r="F158" s="73"/>
    </row>
    <row r="159" spans="4:6" customFormat="1" x14ac:dyDescent="0.35">
      <c r="D159" s="68"/>
      <c r="E159" s="73"/>
      <c r="F159" s="73"/>
    </row>
    <row r="160" spans="4:6" customFormat="1" x14ac:dyDescent="0.35">
      <c r="D160" s="68"/>
      <c r="E160" s="73"/>
      <c r="F160" s="73"/>
    </row>
    <row r="161" spans="4:6" customFormat="1" x14ac:dyDescent="0.35">
      <c r="D161" s="68"/>
      <c r="E161" s="73"/>
      <c r="F161" s="73"/>
    </row>
    <row r="162" spans="4:6" customFormat="1" x14ac:dyDescent="0.35">
      <c r="D162" s="68"/>
      <c r="E162" s="73"/>
      <c r="F162" s="73"/>
    </row>
    <row r="163" spans="4:6" customFormat="1" x14ac:dyDescent="0.35">
      <c r="D163" s="68"/>
      <c r="E163" s="73"/>
      <c r="F163" s="73"/>
    </row>
    <row r="164" spans="4:6" customFormat="1" x14ac:dyDescent="0.35">
      <c r="D164" s="68"/>
      <c r="E164" s="73"/>
      <c r="F164" s="73"/>
    </row>
    <row r="165" spans="4:6" customFormat="1" x14ac:dyDescent="0.35">
      <c r="D165" s="68"/>
      <c r="E165" s="73"/>
      <c r="F165" s="73"/>
    </row>
    <row r="166" spans="4:6" customFormat="1" x14ac:dyDescent="0.35">
      <c r="D166" s="68"/>
      <c r="E166" s="73"/>
      <c r="F166" s="73"/>
    </row>
    <row r="167" spans="4:6" customFormat="1" x14ac:dyDescent="0.35">
      <c r="D167" s="68"/>
      <c r="E167" s="73"/>
      <c r="F167" s="73"/>
    </row>
    <row r="168" spans="4:6" customFormat="1" x14ac:dyDescent="0.35">
      <c r="D168" s="68"/>
      <c r="E168" s="73"/>
      <c r="F168" s="73"/>
    </row>
    <row r="169" spans="4:6" customFormat="1" x14ac:dyDescent="0.35">
      <c r="D169" s="68"/>
      <c r="E169" s="73"/>
      <c r="F169" s="73"/>
    </row>
    <row r="170" spans="4:6" customFormat="1" x14ac:dyDescent="0.35">
      <c r="D170" s="68"/>
      <c r="E170" s="73"/>
      <c r="F170" s="73"/>
    </row>
    <row r="171" spans="4:6" customFormat="1" x14ac:dyDescent="0.35">
      <c r="D171" s="68"/>
      <c r="E171" s="73"/>
      <c r="F171" s="73"/>
    </row>
    <row r="172" spans="4:6" customFormat="1" x14ac:dyDescent="0.35">
      <c r="D172" s="68"/>
      <c r="E172" s="73"/>
      <c r="F172" s="73"/>
    </row>
    <row r="173" spans="4:6" customFormat="1" x14ac:dyDescent="0.35">
      <c r="D173" s="68"/>
      <c r="E173" s="73"/>
      <c r="F173" s="73"/>
    </row>
    <row r="174" spans="4:6" customFormat="1" x14ac:dyDescent="0.35">
      <c r="D174" s="68"/>
      <c r="E174" s="73"/>
      <c r="F174" s="73"/>
    </row>
    <row r="175" spans="4:6" customFormat="1" x14ac:dyDescent="0.35">
      <c r="D175" s="68"/>
      <c r="E175" s="73"/>
      <c r="F175" s="73"/>
    </row>
    <row r="176" spans="4:6" customFormat="1" x14ac:dyDescent="0.35">
      <c r="D176" s="68"/>
      <c r="E176" s="73"/>
      <c r="F176" s="73"/>
    </row>
    <row r="177" spans="1:8" x14ac:dyDescent="0.35">
      <c r="A177"/>
      <c r="B177"/>
      <c r="C177"/>
      <c r="D177" s="68"/>
      <c r="E177" s="73"/>
      <c r="F177" s="73"/>
      <c r="G177"/>
      <c r="H177"/>
    </row>
    <row r="178" spans="1:8" x14ac:dyDescent="0.35">
      <c r="A178"/>
      <c r="B178"/>
      <c r="C178"/>
      <c r="D178" s="68"/>
      <c r="E178" s="73"/>
      <c r="F178" s="73"/>
      <c r="G178"/>
      <c r="H178"/>
    </row>
    <row r="179" spans="1:8" x14ac:dyDescent="0.35">
      <c r="A179"/>
      <c r="B179"/>
      <c r="C179"/>
      <c r="D179" s="68"/>
      <c r="E179" s="73"/>
      <c r="F179" s="73"/>
      <c r="G179"/>
      <c r="H179"/>
    </row>
    <row r="180" spans="1:8" x14ac:dyDescent="0.35">
      <c r="A180"/>
      <c r="B180"/>
      <c r="C180"/>
      <c r="D180" s="68"/>
      <c r="E180" s="73"/>
      <c r="F180" s="73"/>
      <c r="G180"/>
      <c r="H180"/>
    </row>
    <row r="181" spans="1:8" x14ac:dyDescent="0.35">
      <c r="A181"/>
      <c r="H181"/>
    </row>
    <row r="182" spans="1:8" x14ac:dyDescent="0.35">
      <c r="A182"/>
      <c r="H182"/>
    </row>
    <row r="183" spans="1:8" x14ac:dyDescent="0.35">
      <c r="A183"/>
      <c r="H183"/>
    </row>
    <row r="184" spans="1:8" x14ac:dyDescent="0.35">
      <c r="A184"/>
      <c r="H184"/>
    </row>
    <row r="185" spans="1:8" x14ac:dyDescent="0.35">
      <c r="A185"/>
      <c r="H185"/>
    </row>
    <row r="186" spans="1:8" x14ac:dyDescent="0.35">
      <c r="A186"/>
      <c r="H186"/>
    </row>
    <row r="187" spans="1:8" x14ac:dyDescent="0.35">
      <c r="A187"/>
      <c r="H187"/>
    </row>
    <row r="188" spans="1:8" x14ac:dyDescent="0.35">
      <c r="A188"/>
      <c r="H188"/>
    </row>
    <row r="189" spans="1:8" x14ac:dyDescent="0.35">
      <c r="A189"/>
      <c r="H189"/>
    </row>
    <row r="190" spans="1:8" x14ac:dyDescent="0.35">
      <c r="A190"/>
      <c r="H190"/>
    </row>
    <row r="191" spans="1:8" x14ac:dyDescent="0.35">
      <c r="A191"/>
      <c r="H191"/>
    </row>
    <row r="192" spans="1:8" x14ac:dyDescent="0.35">
      <c r="A192"/>
      <c r="H192"/>
    </row>
  </sheetData>
  <mergeCells count="3">
    <mergeCell ref="N2:O3"/>
    <mergeCell ref="L2:M3"/>
    <mergeCell ref="L5:N5"/>
  </mergeCells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FC991-C7B1-3B47-B6C9-3A1CFC79E6DE}">
  <sheetPr>
    <tabColor rgb="FFFFC000"/>
    <pageSetUpPr fitToPage="1"/>
  </sheetPr>
  <dimension ref="A1:R60"/>
  <sheetViews>
    <sheetView workbookViewId="0">
      <selection activeCell="P25" sqref="P25"/>
    </sheetView>
  </sheetViews>
  <sheetFormatPr defaultColWidth="8.90625" defaultRowHeight="17.5" x14ac:dyDescent="0.35"/>
  <cols>
    <col min="1" max="1" width="19.36328125" style="95" bestFit="1" customWidth="1"/>
    <col min="2" max="2" width="17.1796875" style="101" bestFit="1" customWidth="1"/>
    <col min="3" max="6" width="15.90625" style="101" customWidth="1"/>
    <col min="7" max="7" width="8.453125" style="97" customWidth="1"/>
    <col min="8" max="8" width="8.90625" style="95"/>
    <col min="9" max="9" width="27.453125" style="95" customWidth="1"/>
    <col min="10" max="11" width="11.1796875" style="95" customWidth="1"/>
    <col min="12" max="12" width="8.90625" style="95"/>
    <col min="13" max="13" width="10.6328125" style="95" bestFit="1" customWidth="1"/>
    <col min="14" max="18" width="9.1796875" style="95" bestFit="1" customWidth="1"/>
    <col min="19" max="16384" width="8.90625" style="95"/>
  </cols>
  <sheetData>
    <row r="1" spans="1:18" ht="36.5" thickBot="1" x14ac:dyDescent="0.45">
      <c r="A1" s="105" t="s">
        <v>112</v>
      </c>
      <c r="B1" s="106" t="s">
        <v>125</v>
      </c>
      <c r="C1" s="106" t="s">
        <v>151</v>
      </c>
      <c r="D1" s="106" t="s">
        <v>152</v>
      </c>
      <c r="E1" s="106" t="s">
        <v>153</v>
      </c>
      <c r="F1" s="106" t="s">
        <v>113</v>
      </c>
      <c r="G1" s="95"/>
      <c r="I1" s="98"/>
      <c r="J1" s="98"/>
      <c r="K1" s="104"/>
      <c r="L1" s="104"/>
      <c r="M1" s="210" t="s">
        <v>167</v>
      </c>
      <c r="N1" s="210"/>
      <c r="O1" s="210"/>
      <c r="P1" s="210"/>
      <c r="Q1" s="210"/>
      <c r="R1" s="210"/>
    </row>
    <row r="2" spans="1:18" ht="18.5" thickBot="1" x14ac:dyDescent="0.45">
      <c r="A2" s="282" t="s">
        <v>64</v>
      </c>
      <c r="B2" s="108">
        <f>$J$14</f>
        <v>30</v>
      </c>
      <c r="C2" s="108">
        <f>$J$15</f>
        <v>24</v>
      </c>
      <c r="D2" s="108">
        <f>$J$16</f>
        <v>24</v>
      </c>
      <c r="E2" s="108">
        <f>$J$16</f>
        <v>24</v>
      </c>
      <c r="F2" s="108">
        <f>J$18</f>
        <v>15</v>
      </c>
      <c r="I2" s="111" t="s">
        <v>47</v>
      </c>
      <c r="J2" s="111" t="s">
        <v>15</v>
      </c>
      <c r="K2" s="111" t="s">
        <v>48</v>
      </c>
      <c r="M2" s="196">
        <v>11</v>
      </c>
      <c r="N2" s="197">
        <v>12</v>
      </c>
      <c r="O2" s="197">
        <v>13</v>
      </c>
      <c r="P2" s="197">
        <v>14</v>
      </c>
      <c r="Q2" s="197">
        <v>15</v>
      </c>
      <c r="R2" s="198">
        <v>16</v>
      </c>
    </row>
    <row r="3" spans="1:18" x14ac:dyDescent="0.35">
      <c r="A3" s="282" t="s">
        <v>65</v>
      </c>
      <c r="B3" s="108">
        <f>$J$14</f>
        <v>30</v>
      </c>
      <c r="C3" s="108">
        <f>$J$15</f>
        <v>24</v>
      </c>
      <c r="D3" s="108">
        <f>$J$16</f>
        <v>24</v>
      </c>
      <c r="E3" s="108">
        <f>$J$16</f>
        <v>24</v>
      </c>
      <c r="F3" s="108">
        <f>J$18</f>
        <v>15</v>
      </c>
      <c r="G3" s="100"/>
      <c r="I3" s="112" t="s">
        <v>54</v>
      </c>
      <c r="J3" s="113" t="s">
        <v>53</v>
      </c>
      <c r="K3" s="109">
        <f>Ledger!N24</f>
        <v>70</v>
      </c>
      <c r="M3" s="193">
        <f>$K$3/$M$2</f>
        <v>6.3636363636363633</v>
      </c>
      <c r="N3" s="194">
        <f>$K$3/N2</f>
        <v>5.833333333333333</v>
      </c>
      <c r="O3" s="194">
        <f t="shared" ref="O3:R3" si="0">$K$3/O2</f>
        <v>5.384615384615385</v>
      </c>
      <c r="P3" s="194">
        <f t="shared" si="0"/>
        <v>5</v>
      </c>
      <c r="Q3" s="194">
        <f t="shared" si="0"/>
        <v>4.666666666666667</v>
      </c>
      <c r="R3" s="195">
        <f t="shared" si="0"/>
        <v>4.375</v>
      </c>
    </row>
    <row r="4" spans="1:18" ht="18" thickBot="1" x14ac:dyDescent="0.4">
      <c r="A4" s="282" t="s">
        <v>66</v>
      </c>
      <c r="B4" s="108">
        <f>$J$14</f>
        <v>30</v>
      </c>
      <c r="C4" s="108">
        <f>$J$15</f>
        <v>24</v>
      </c>
      <c r="D4" s="108">
        <f>$J$16</f>
        <v>24</v>
      </c>
      <c r="E4" s="108">
        <f>$J$16</f>
        <v>24</v>
      </c>
      <c r="F4" s="108">
        <f>J$18</f>
        <v>15</v>
      </c>
      <c r="G4" s="100"/>
      <c r="I4" s="114" t="s">
        <v>121</v>
      </c>
      <c r="J4" s="115" t="s">
        <v>56</v>
      </c>
      <c r="K4" s="116">
        <f>Ledger!N25</f>
        <v>90</v>
      </c>
      <c r="M4" s="188">
        <f>$K$4/M2</f>
        <v>8.1818181818181817</v>
      </c>
      <c r="N4" s="187">
        <f t="shared" ref="N4:R4" si="1">$K$4/N2</f>
        <v>7.5</v>
      </c>
      <c r="O4" s="187">
        <f t="shared" si="1"/>
        <v>6.9230769230769234</v>
      </c>
      <c r="P4" s="187">
        <f t="shared" si="1"/>
        <v>6.4285714285714288</v>
      </c>
      <c r="Q4" s="187">
        <f t="shared" si="1"/>
        <v>6</v>
      </c>
      <c r="R4" s="189">
        <f t="shared" si="1"/>
        <v>5.625</v>
      </c>
    </row>
    <row r="5" spans="1:18" x14ac:dyDescent="0.35">
      <c r="A5" s="282" t="s">
        <v>67</v>
      </c>
      <c r="B5" s="108">
        <f>$J$14</f>
        <v>30</v>
      </c>
      <c r="C5" s="108">
        <f>$J$15</f>
        <v>24</v>
      </c>
      <c r="D5" s="108">
        <f>$J$16</f>
        <v>24</v>
      </c>
      <c r="E5" s="108">
        <f>$J$16</f>
        <v>24</v>
      </c>
      <c r="F5" s="108">
        <f>J$18</f>
        <v>15</v>
      </c>
      <c r="I5" s="117" t="s">
        <v>49</v>
      </c>
      <c r="J5" s="118" t="s">
        <v>149</v>
      </c>
      <c r="K5" s="119">
        <f>Ledger!N26</f>
        <v>22.5</v>
      </c>
      <c r="M5" s="188">
        <f>$K$5/M2</f>
        <v>2.0454545454545454</v>
      </c>
      <c r="N5" s="187">
        <f t="shared" ref="N5:R5" si="2">$K$5/N2</f>
        <v>1.875</v>
      </c>
      <c r="O5" s="187">
        <f t="shared" si="2"/>
        <v>1.7307692307692308</v>
      </c>
      <c r="P5" s="187">
        <f t="shared" si="2"/>
        <v>1.6071428571428572</v>
      </c>
      <c r="Q5" s="187">
        <f t="shared" si="2"/>
        <v>1.5</v>
      </c>
      <c r="R5" s="189">
        <f t="shared" si="2"/>
        <v>1.40625</v>
      </c>
    </row>
    <row r="6" spans="1:18" s="102" customFormat="1" x14ac:dyDescent="0.35">
      <c r="A6" s="282" t="s">
        <v>68</v>
      </c>
      <c r="B6" s="108">
        <f>$J$14</f>
        <v>30</v>
      </c>
      <c r="C6" s="108">
        <f>$J$15</f>
        <v>24</v>
      </c>
      <c r="D6" s="108">
        <f>$J$16</f>
        <v>24</v>
      </c>
      <c r="E6" s="108">
        <f>$J$16</f>
        <v>24</v>
      </c>
      <c r="F6" s="108">
        <f>J$18</f>
        <v>15</v>
      </c>
      <c r="G6" s="103"/>
      <c r="I6" s="112" t="s">
        <v>52</v>
      </c>
      <c r="J6" s="113" t="s">
        <v>51</v>
      </c>
      <c r="K6" s="109">
        <f>Ledger!N27</f>
        <v>45</v>
      </c>
      <c r="L6" s="95"/>
      <c r="M6" s="188">
        <f>$K$6/M2</f>
        <v>4.0909090909090908</v>
      </c>
      <c r="N6" s="187">
        <f t="shared" ref="N6:R6" si="3">$K$6/N2</f>
        <v>3.75</v>
      </c>
      <c r="O6" s="187">
        <f t="shared" si="3"/>
        <v>3.4615384615384617</v>
      </c>
      <c r="P6" s="187">
        <f t="shared" si="3"/>
        <v>3.2142857142857144</v>
      </c>
      <c r="Q6" s="187">
        <f t="shared" si="3"/>
        <v>3</v>
      </c>
      <c r="R6" s="189">
        <f t="shared" si="3"/>
        <v>2.8125</v>
      </c>
    </row>
    <row r="7" spans="1:18" s="104" customFormat="1" x14ac:dyDescent="0.35">
      <c r="A7" s="282" t="s">
        <v>69</v>
      </c>
      <c r="B7" s="108">
        <f>$J$14</f>
        <v>30</v>
      </c>
      <c r="C7" s="108">
        <f>$J$15</f>
        <v>24</v>
      </c>
      <c r="D7" s="108">
        <f>$J$16</f>
        <v>24</v>
      </c>
      <c r="E7" s="108">
        <f>$J$16</f>
        <v>24</v>
      </c>
      <c r="F7" s="108">
        <f>J$18</f>
        <v>15</v>
      </c>
      <c r="G7" s="107"/>
      <c r="I7" s="112" t="s">
        <v>140</v>
      </c>
      <c r="J7" s="113" t="s">
        <v>141</v>
      </c>
      <c r="K7" s="109">
        <f>Ledger!N28</f>
        <v>40</v>
      </c>
      <c r="L7" s="95"/>
      <c r="M7" s="188">
        <f>$K$7/Player_Costs[[#Totals],[Player]]</f>
        <v>1.5384615384615385</v>
      </c>
      <c r="N7" s="187"/>
      <c r="O7" s="187"/>
      <c r="P7" s="187"/>
      <c r="Q7" s="187"/>
      <c r="R7" s="189"/>
    </row>
    <row r="8" spans="1:18" ht="18" thickBot="1" x14ac:dyDescent="0.4">
      <c r="A8" s="282" t="s">
        <v>175</v>
      </c>
      <c r="B8" s="108">
        <f>$J$14</f>
        <v>30</v>
      </c>
      <c r="C8" s="108">
        <f>$J$15</f>
        <v>24</v>
      </c>
      <c r="D8" s="108">
        <f>$J$16</f>
        <v>24</v>
      </c>
      <c r="E8" s="108">
        <f>$J$16</f>
        <v>24</v>
      </c>
      <c r="F8" s="108">
        <f>J$18</f>
        <v>15</v>
      </c>
      <c r="G8" s="110"/>
      <c r="I8" s="114" t="s">
        <v>139</v>
      </c>
      <c r="J8" s="115" t="s">
        <v>142</v>
      </c>
      <c r="K8" s="116">
        <f>Ledger!N29</f>
        <v>80</v>
      </c>
      <c r="M8" s="190">
        <f>$K$8/Player_Costs[[#Totals],[Player]]</f>
        <v>3.0769230769230771</v>
      </c>
      <c r="N8" s="191"/>
      <c r="O8" s="191"/>
      <c r="P8" s="191"/>
      <c r="Q8" s="191"/>
      <c r="R8" s="192"/>
    </row>
    <row r="9" spans="1:18" ht="18" thickBot="1" x14ac:dyDescent="0.4">
      <c r="A9" s="282" t="s">
        <v>171</v>
      </c>
      <c r="B9" s="108">
        <f>$J$14</f>
        <v>30</v>
      </c>
      <c r="C9" s="108">
        <f>$J$15</f>
        <v>24</v>
      </c>
      <c r="D9" s="108">
        <f>$J$16</f>
        <v>24</v>
      </c>
      <c r="E9" s="108">
        <f>$J$16</f>
        <v>24</v>
      </c>
      <c r="F9" s="108">
        <f>J$18</f>
        <v>15</v>
      </c>
      <c r="G9" s="110"/>
      <c r="K9" s="96"/>
    </row>
    <row r="10" spans="1:18" x14ac:dyDescent="0.35">
      <c r="A10" s="282" t="s">
        <v>70</v>
      </c>
      <c r="B10" s="108">
        <f>$J$14</f>
        <v>30</v>
      </c>
      <c r="C10" s="108">
        <f>$J$15</f>
        <v>24</v>
      </c>
      <c r="D10" s="108">
        <f>$J$16</f>
        <v>24</v>
      </c>
      <c r="E10" s="108">
        <f>$J$16</f>
        <v>24</v>
      </c>
      <c r="F10" s="108">
        <f>J$18</f>
        <v>15</v>
      </c>
      <c r="G10" s="110"/>
      <c r="I10" s="178" t="s">
        <v>155</v>
      </c>
      <c r="J10" s="179"/>
      <c r="K10" s="180"/>
      <c r="L10" s="179"/>
      <c r="M10" s="181">
        <f t="shared" ref="M10:Q10" si="4">M3+M6</f>
        <v>10.454545454545453</v>
      </c>
      <c r="N10" s="181">
        <f t="shared" si="4"/>
        <v>9.5833333333333321</v>
      </c>
      <c r="O10" s="181">
        <f t="shared" si="4"/>
        <v>8.8461538461538467</v>
      </c>
      <c r="P10" s="181">
        <f t="shared" si="4"/>
        <v>8.2142857142857153</v>
      </c>
      <c r="Q10" s="181">
        <f t="shared" si="4"/>
        <v>7.666666666666667</v>
      </c>
      <c r="R10" s="182">
        <f>R3+R6</f>
        <v>7.1875</v>
      </c>
    </row>
    <row r="11" spans="1:18" ht="18.5" thickBot="1" x14ac:dyDescent="0.45">
      <c r="A11" s="282" t="s">
        <v>71</v>
      </c>
      <c r="B11" s="108">
        <f>$J$14</f>
        <v>30</v>
      </c>
      <c r="C11" s="108">
        <f>$J$15</f>
        <v>24</v>
      </c>
      <c r="D11" s="108">
        <f>$J$16</f>
        <v>24</v>
      </c>
      <c r="E11" s="108">
        <f>$J$16</f>
        <v>24</v>
      </c>
      <c r="F11" s="108">
        <f>J$18</f>
        <v>15</v>
      </c>
      <c r="G11" s="110"/>
      <c r="I11" s="183" t="s">
        <v>156</v>
      </c>
      <c r="J11" s="184"/>
      <c r="K11" s="184"/>
      <c r="L11" s="184"/>
      <c r="M11" s="185">
        <v>10</v>
      </c>
      <c r="N11" s="185">
        <v>9.5</v>
      </c>
      <c r="O11" s="185">
        <v>9</v>
      </c>
      <c r="P11" s="185">
        <v>8.5</v>
      </c>
      <c r="Q11" s="185">
        <v>8</v>
      </c>
      <c r="R11" s="186">
        <v>7.5</v>
      </c>
    </row>
    <row r="12" spans="1:18" x14ac:dyDescent="0.35">
      <c r="A12" s="282" t="s">
        <v>72</v>
      </c>
      <c r="B12" s="108">
        <f>$J$14</f>
        <v>30</v>
      </c>
      <c r="C12" s="108">
        <f>$J$15</f>
        <v>24</v>
      </c>
      <c r="D12" s="108">
        <f>$J$16</f>
        <v>24</v>
      </c>
      <c r="E12" s="108">
        <f>$J$16</f>
        <v>24</v>
      </c>
      <c r="F12" s="108">
        <f>J$18</f>
        <v>15</v>
      </c>
      <c r="G12" s="110"/>
    </row>
    <row r="13" spans="1:18" x14ac:dyDescent="0.35">
      <c r="A13" s="282" t="s">
        <v>73</v>
      </c>
      <c r="B13" s="108">
        <f>$J$14</f>
        <v>30</v>
      </c>
      <c r="C13" s="108">
        <f>$J$15</f>
        <v>24</v>
      </c>
      <c r="D13" s="108">
        <f>$J$16</f>
        <v>24</v>
      </c>
      <c r="E13" s="108">
        <f>$J$16</f>
        <v>24</v>
      </c>
      <c r="F13" s="108">
        <f>J$18</f>
        <v>15</v>
      </c>
      <c r="G13" s="110"/>
    </row>
    <row r="14" spans="1:18" x14ac:dyDescent="0.35">
      <c r="A14" s="282" t="s">
        <v>74</v>
      </c>
      <c r="B14" s="108">
        <f>$J$14</f>
        <v>30</v>
      </c>
      <c r="C14" s="108">
        <f>$J$15</f>
        <v>24</v>
      </c>
      <c r="D14" s="108">
        <f>$J$16</f>
        <v>24</v>
      </c>
      <c r="E14" s="108">
        <f>$J$16</f>
        <v>24</v>
      </c>
      <c r="F14" s="108">
        <f>J$18</f>
        <v>15</v>
      </c>
      <c r="G14" s="110"/>
      <c r="I14" s="98" t="s">
        <v>125</v>
      </c>
      <c r="J14" s="99">
        <v>30</v>
      </c>
    </row>
    <row r="15" spans="1:18" x14ac:dyDescent="0.35">
      <c r="A15" s="282" t="s">
        <v>75</v>
      </c>
      <c r="B15" s="108">
        <f>$J$14</f>
        <v>30</v>
      </c>
      <c r="C15" s="108">
        <f>$J$15</f>
        <v>24</v>
      </c>
      <c r="D15" s="108">
        <f>$J$16</f>
        <v>24</v>
      </c>
      <c r="E15" s="108">
        <f>$J$16</f>
        <v>24</v>
      </c>
      <c r="F15" s="108">
        <f>J$18</f>
        <v>15</v>
      </c>
      <c r="G15" s="110"/>
      <c r="I15" s="98" t="s">
        <v>151</v>
      </c>
      <c r="J15" s="99">
        <v>24</v>
      </c>
    </row>
    <row r="16" spans="1:18" x14ac:dyDescent="0.35">
      <c r="A16" s="282" t="s">
        <v>76</v>
      </c>
      <c r="B16" s="108">
        <f>$J$14</f>
        <v>30</v>
      </c>
      <c r="C16" s="108">
        <f>$J$15</f>
        <v>24</v>
      </c>
      <c r="D16" s="108">
        <f>$J$16</f>
        <v>24</v>
      </c>
      <c r="E16" s="108">
        <f>$J$16</f>
        <v>24</v>
      </c>
      <c r="F16" s="108">
        <f>J$18</f>
        <v>15</v>
      </c>
      <c r="G16" s="110"/>
      <c r="I16" s="98" t="s">
        <v>152</v>
      </c>
      <c r="J16" s="99">
        <v>24</v>
      </c>
    </row>
    <row r="17" spans="1:18" x14ac:dyDescent="0.35">
      <c r="A17" s="282" t="s">
        <v>178</v>
      </c>
      <c r="B17" s="108">
        <f>$J$14</f>
        <v>30</v>
      </c>
      <c r="C17" s="108">
        <f>$J$15</f>
        <v>24</v>
      </c>
      <c r="D17" s="108">
        <f>$J$16</f>
        <v>24</v>
      </c>
      <c r="E17" s="108">
        <f>$J$16</f>
        <v>24</v>
      </c>
      <c r="F17" s="108">
        <f>J$18</f>
        <v>15</v>
      </c>
      <c r="G17" s="110"/>
      <c r="I17" s="98" t="s">
        <v>153</v>
      </c>
      <c r="J17" s="99"/>
    </row>
    <row r="18" spans="1:18" x14ac:dyDescent="0.35">
      <c r="A18" s="282" t="s">
        <v>162</v>
      </c>
      <c r="B18" s="108">
        <f>$J$14</f>
        <v>30</v>
      </c>
      <c r="C18" s="108">
        <f>$J$15</f>
        <v>24</v>
      </c>
      <c r="D18" s="108">
        <f>$J$16</f>
        <v>24</v>
      </c>
      <c r="E18" s="108">
        <f>$J$16</f>
        <v>24</v>
      </c>
      <c r="F18" s="108">
        <f>J$18</f>
        <v>15</v>
      </c>
      <c r="G18" s="110"/>
      <c r="I18" s="98" t="s">
        <v>113</v>
      </c>
      <c r="J18" s="99">
        <v>15</v>
      </c>
    </row>
    <row r="19" spans="1:18" x14ac:dyDescent="0.35">
      <c r="A19" s="282" t="s">
        <v>163</v>
      </c>
      <c r="B19" s="108">
        <f>$J$14</f>
        <v>30</v>
      </c>
      <c r="C19" s="108">
        <f>$J$15</f>
        <v>24</v>
      </c>
      <c r="D19" s="108">
        <f>$J$16</f>
        <v>24</v>
      </c>
      <c r="E19" s="108">
        <f>$J$16</f>
        <v>24</v>
      </c>
      <c r="F19" s="108">
        <f>J$18</f>
        <v>15</v>
      </c>
      <c r="G19" s="110"/>
    </row>
    <row r="20" spans="1:18" x14ac:dyDescent="0.35">
      <c r="A20" s="282" t="s">
        <v>124</v>
      </c>
      <c r="B20" s="108">
        <f>$J$14</f>
        <v>30</v>
      </c>
      <c r="C20" s="108">
        <f>$J$15</f>
        <v>24</v>
      </c>
      <c r="D20" s="108">
        <f>$J$16</f>
        <v>24</v>
      </c>
      <c r="E20" s="108">
        <f>$J$16</f>
        <v>24</v>
      </c>
      <c r="F20" s="108">
        <f>J$18</f>
        <v>15</v>
      </c>
      <c r="G20" s="110"/>
    </row>
    <row r="21" spans="1:18" ht="18" x14ac:dyDescent="0.4">
      <c r="A21" s="282" t="s">
        <v>77</v>
      </c>
      <c r="B21" s="108">
        <f>$J$14</f>
        <v>30</v>
      </c>
      <c r="C21" s="108">
        <f>$J$15</f>
        <v>24</v>
      </c>
      <c r="D21" s="108">
        <f>$J$16</f>
        <v>24</v>
      </c>
      <c r="E21" s="108">
        <f>$J$16</f>
        <v>24</v>
      </c>
      <c r="F21" s="108">
        <f>J$18</f>
        <v>15</v>
      </c>
      <c r="G21" s="110"/>
      <c r="J21" s="120"/>
    </row>
    <row r="22" spans="1:18" ht="18" thickBot="1" x14ac:dyDescent="0.4">
      <c r="A22" s="282" t="s">
        <v>172</v>
      </c>
      <c r="B22" s="108">
        <f>$J$14</f>
        <v>30</v>
      </c>
      <c r="C22" s="157">
        <f>$J$15</f>
        <v>24</v>
      </c>
      <c r="D22" s="157">
        <f>$J$16</f>
        <v>24</v>
      </c>
      <c r="E22" s="157">
        <f>$J$16</f>
        <v>24</v>
      </c>
      <c r="F22" s="121">
        <f>J$18</f>
        <v>15</v>
      </c>
      <c r="G22" s="110"/>
    </row>
    <row r="23" spans="1:18" ht="18" x14ac:dyDescent="0.4">
      <c r="A23" s="282" t="s">
        <v>78</v>
      </c>
      <c r="B23" s="157">
        <f>$J$14</f>
        <v>30</v>
      </c>
      <c r="C23" s="157">
        <f>$J$15</f>
        <v>24</v>
      </c>
      <c r="D23" s="157">
        <f>$J$16</f>
        <v>24</v>
      </c>
      <c r="E23" s="157">
        <f>$J$16</f>
        <v>24</v>
      </c>
      <c r="F23" s="157">
        <f>J$18</f>
        <v>15</v>
      </c>
      <c r="G23" s="110"/>
      <c r="I23" s="120"/>
      <c r="L23" s="120"/>
      <c r="M23" s="120"/>
      <c r="N23" s="120"/>
      <c r="O23" s="120"/>
      <c r="P23" s="120"/>
      <c r="Q23" s="120"/>
      <c r="R23" s="120"/>
    </row>
    <row r="24" spans="1:18" x14ac:dyDescent="0.35">
      <c r="A24" s="282" t="s">
        <v>79</v>
      </c>
      <c r="B24" s="108">
        <f>$J$14</f>
        <v>30</v>
      </c>
      <c r="C24" s="108">
        <f>$J$15</f>
        <v>24</v>
      </c>
      <c r="D24" s="108">
        <f>$J$16</f>
        <v>24</v>
      </c>
      <c r="E24" s="108">
        <f>$J$16</f>
        <v>24</v>
      </c>
      <c r="F24" s="108">
        <f>J$18</f>
        <v>15</v>
      </c>
      <c r="G24" s="110"/>
    </row>
    <row r="25" spans="1:18" x14ac:dyDescent="0.35">
      <c r="A25" s="282" t="s">
        <v>161</v>
      </c>
      <c r="B25" s="108">
        <f>$J$14</f>
        <v>30</v>
      </c>
      <c r="C25" s="108">
        <f>$J$15</f>
        <v>24</v>
      </c>
      <c r="D25" s="108">
        <f>$J$16</f>
        <v>24</v>
      </c>
      <c r="E25" s="108">
        <f>$J$16</f>
        <v>24</v>
      </c>
      <c r="F25" s="108">
        <f>J$18</f>
        <v>15</v>
      </c>
      <c r="G25" s="110"/>
    </row>
    <row r="26" spans="1:18" x14ac:dyDescent="0.35">
      <c r="A26" s="282" t="s">
        <v>80</v>
      </c>
      <c r="B26" s="108">
        <f>$J$14</f>
        <v>30</v>
      </c>
      <c r="C26" s="108">
        <f>$J$15</f>
        <v>24</v>
      </c>
      <c r="D26" s="108">
        <f>$J$16</f>
        <v>24</v>
      </c>
      <c r="E26" s="108">
        <f>$J$16</f>
        <v>24</v>
      </c>
      <c r="F26" s="108">
        <f>J$18</f>
        <v>15</v>
      </c>
      <c r="G26" s="110"/>
    </row>
    <row r="27" spans="1:18" x14ac:dyDescent="0.35">
      <c r="A27" s="282" t="s">
        <v>81</v>
      </c>
      <c r="B27" s="157">
        <f>$J$14</f>
        <v>30</v>
      </c>
      <c r="C27" s="157">
        <f>$J$15</f>
        <v>24</v>
      </c>
      <c r="D27" s="157">
        <f>$J$16</f>
        <v>24</v>
      </c>
      <c r="E27" s="157">
        <f>$J$16</f>
        <v>24</v>
      </c>
      <c r="F27" s="157">
        <f>J$18</f>
        <v>15</v>
      </c>
      <c r="G27" s="110"/>
    </row>
    <row r="28" spans="1:18" x14ac:dyDescent="0.35">
      <c r="A28" s="122">
        <f>SUBTOTAL(103,Player_Costs[Player])</f>
        <v>26</v>
      </c>
      <c r="B28" s="123">
        <f>SUBTOTAL(109,Player_Costs[Registration])</f>
        <v>780</v>
      </c>
      <c r="C28" s="123">
        <f>SUBTOTAL(109,Player_Costs[Home Kit])</f>
        <v>624</v>
      </c>
      <c r="D28" s="123">
        <f>SUBTOTAL(109,Player_Costs[Away Kit])</f>
        <v>624</v>
      </c>
      <c r="E28" s="123">
        <f>SUBTOTAL(109,Player_Costs[Training Kit])</f>
        <v>624</v>
      </c>
      <c r="F28" s="123">
        <f>SUBTOTAL(109,Player_Costs[Training / Month])</f>
        <v>390</v>
      </c>
      <c r="G28" s="110"/>
    </row>
    <row r="29" spans="1:18" s="120" customFormat="1" ht="18" x14ac:dyDescent="0.4">
      <c r="A29" s="97"/>
      <c r="B29" s="95"/>
      <c r="C29" s="95"/>
      <c r="D29" s="95"/>
      <c r="E29" s="95"/>
      <c r="F29" s="95"/>
      <c r="G29" s="97"/>
      <c r="I29" s="95"/>
      <c r="J29" s="95"/>
      <c r="K29" s="95"/>
      <c r="L29" s="95"/>
      <c r="M29" s="95"/>
      <c r="N29" s="95"/>
      <c r="O29" s="95"/>
      <c r="P29" s="95"/>
      <c r="Q29" s="95"/>
      <c r="R29" s="95"/>
    </row>
    <row r="30" spans="1:18" x14ac:dyDescent="0.35">
      <c r="A30" s="97"/>
      <c r="B30" s="95"/>
      <c r="C30" s="95"/>
      <c r="D30" s="95"/>
      <c r="E30" s="95"/>
      <c r="F30" s="95"/>
    </row>
    <row r="31" spans="1:18" x14ac:dyDescent="0.35">
      <c r="A31" s="97"/>
      <c r="B31" s="95"/>
      <c r="C31" s="95"/>
      <c r="D31" s="95"/>
      <c r="E31" s="95"/>
      <c r="F31" s="95"/>
    </row>
    <row r="32" spans="1:18" x14ac:dyDescent="0.35">
      <c r="A32" s="97"/>
      <c r="B32" s="95"/>
      <c r="C32" s="95"/>
      <c r="D32" s="95"/>
      <c r="E32" s="95"/>
      <c r="F32" s="95"/>
    </row>
    <row r="33" spans="1:7" x14ac:dyDescent="0.35">
      <c r="A33" s="97"/>
      <c r="B33" s="95"/>
      <c r="C33" s="95"/>
      <c r="D33" s="95"/>
      <c r="E33" s="95"/>
      <c r="F33" s="95"/>
    </row>
    <row r="34" spans="1:7" x14ac:dyDescent="0.35">
      <c r="A34" s="97"/>
      <c r="B34" s="95"/>
      <c r="C34" s="95"/>
      <c r="D34" s="95"/>
      <c r="E34" s="95"/>
      <c r="F34" s="95"/>
    </row>
    <row r="35" spans="1:7" x14ac:dyDescent="0.35">
      <c r="A35" s="97"/>
      <c r="B35" s="95"/>
      <c r="C35" s="95"/>
      <c r="D35" s="95"/>
      <c r="E35" s="95"/>
      <c r="F35" s="95"/>
      <c r="G35" s="95"/>
    </row>
    <row r="36" spans="1:7" x14ac:dyDescent="0.35">
      <c r="A36" s="97"/>
      <c r="B36" s="95"/>
      <c r="C36" s="95"/>
      <c r="D36" s="95"/>
      <c r="E36" s="95"/>
      <c r="F36" s="95"/>
      <c r="G36" s="95"/>
    </row>
    <row r="37" spans="1:7" x14ac:dyDescent="0.35">
      <c r="A37" s="97"/>
      <c r="B37" s="95"/>
      <c r="C37" s="95"/>
      <c r="D37" s="95"/>
      <c r="E37" s="95"/>
      <c r="F37" s="95"/>
      <c r="G37" s="95"/>
    </row>
    <row r="38" spans="1:7" x14ac:dyDescent="0.35">
      <c r="A38" s="97"/>
      <c r="B38" s="95"/>
      <c r="C38" s="95"/>
      <c r="D38" s="95"/>
      <c r="E38" s="95"/>
      <c r="F38" s="95"/>
      <c r="G38" s="95"/>
    </row>
    <row r="39" spans="1:7" x14ac:dyDescent="0.35">
      <c r="A39" s="97"/>
      <c r="B39" s="95"/>
      <c r="C39" s="95"/>
      <c r="D39" s="95"/>
      <c r="E39" s="95"/>
      <c r="F39" s="95"/>
      <c r="G39" s="95"/>
    </row>
    <row r="40" spans="1:7" x14ac:dyDescent="0.35">
      <c r="A40" s="97"/>
      <c r="B40" s="95"/>
      <c r="C40" s="95"/>
      <c r="D40" s="95"/>
      <c r="E40" s="95"/>
      <c r="F40" s="95"/>
      <c r="G40" s="95"/>
    </row>
    <row r="41" spans="1:7" x14ac:dyDescent="0.35">
      <c r="A41" s="97"/>
      <c r="B41" s="95"/>
      <c r="C41" s="95"/>
      <c r="D41" s="95"/>
      <c r="E41" s="95"/>
      <c r="F41" s="95"/>
      <c r="G41" s="95"/>
    </row>
    <row r="42" spans="1:7" x14ac:dyDescent="0.35">
      <c r="A42" s="97"/>
      <c r="B42" s="95"/>
      <c r="C42" s="95"/>
      <c r="D42" s="95"/>
      <c r="E42" s="95"/>
      <c r="F42" s="95"/>
      <c r="G42" s="95"/>
    </row>
    <row r="43" spans="1:7" x14ac:dyDescent="0.35">
      <c r="A43" s="97"/>
      <c r="B43" s="95"/>
      <c r="C43" s="95"/>
      <c r="D43" s="95"/>
      <c r="E43" s="95"/>
      <c r="F43" s="95"/>
      <c r="G43" s="95"/>
    </row>
    <row r="44" spans="1:7" x14ac:dyDescent="0.35">
      <c r="A44" s="97"/>
      <c r="B44" s="95"/>
      <c r="C44" s="95"/>
      <c r="D44" s="95"/>
      <c r="E44" s="95"/>
      <c r="F44" s="95"/>
      <c r="G44" s="95"/>
    </row>
    <row r="45" spans="1:7" x14ac:dyDescent="0.35">
      <c r="A45" s="97"/>
      <c r="B45" s="95"/>
      <c r="C45" s="95"/>
      <c r="D45" s="95"/>
      <c r="E45" s="95"/>
      <c r="F45" s="95"/>
      <c r="G45" s="95"/>
    </row>
    <row r="46" spans="1:7" x14ac:dyDescent="0.35">
      <c r="A46" s="97"/>
      <c r="B46" s="95"/>
      <c r="C46" s="95"/>
      <c r="D46" s="95"/>
      <c r="E46" s="95"/>
      <c r="F46" s="95"/>
      <c r="G46" s="95"/>
    </row>
    <row r="47" spans="1:7" x14ac:dyDescent="0.35">
      <c r="A47" s="97"/>
      <c r="B47" s="95"/>
      <c r="C47" s="95"/>
      <c r="D47" s="95"/>
      <c r="E47" s="95"/>
      <c r="F47" s="95"/>
      <c r="G47" s="95"/>
    </row>
    <row r="48" spans="1:7" x14ac:dyDescent="0.35">
      <c r="A48" s="97"/>
      <c r="B48" s="95"/>
      <c r="C48" s="95"/>
      <c r="D48" s="95"/>
      <c r="E48" s="95"/>
      <c r="F48" s="95"/>
      <c r="G48" s="95"/>
    </row>
    <row r="49" spans="1:7" x14ac:dyDescent="0.35">
      <c r="A49" s="97"/>
      <c r="B49" s="95"/>
      <c r="C49" s="95"/>
      <c r="D49" s="95"/>
      <c r="E49" s="95"/>
      <c r="F49" s="95"/>
      <c r="G49" s="95"/>
    </row>
    <row r="50" spans="1:7" x14ac:dyDescent="0.35">
      <c r="A50" s="97"/>
      <c r="B50" s="95"/>
      <c r="C50" s="95"/>
      <c r="D50" s="95"/>
      <c r="E50" s="95"/>
      <c r="F50" s="95"/>
      <c r="G50" s="95"/>
    </row>
    <row r="51" spans="1:7" x14ac:dyDescent="0.35">
      <c r="A51" s="97"/>
      <c r="B51" s="95"/>
      <c r="C51" s="95"/>
      <c r="D51" s="95"/>
      <c r="E51" s="95"/>
      <c r="F51" s="95"/>
      <c r="G51" s="95"/>
    </row>
    <row r="52" spans="1:7" x14ac:dyDescent="0.35">
      <c r="A52" s="97"/>
      <c r="B52" s="95"/>
      <c r="C52" s="95"/>
      <c r="D52" s="95"/>
      <c r="E52" s="95"/>
      <c r="F52" s="95"/>
      <c r="G52" s="95"/>
    </row>
    <row r="53" spans="1:7" x14ac:dyDescent="0.35">
      <c r="A53" s="97"/>
      <c r="B53" s="95"/>
      <c r="C53" s="95"/>
      <c r="D53" s="95"/>
      <c r="E53" s="95"/>
      <c r="F53" s="95"/>
      <c r="G53" s="95"/>
    </row>
    <row r="54" spans="1:7" x14ac:dyDescent="0.35">
      <c r="A54" s="97"/>
      <c r="B54" s="95"/>
      <c r="C54" s="95"/>
      <c r="D54" s="95"/>
      <c r="E54" s="95"/>
      <c r="F54" s="95"/>
      <c r="G54" s="95"/>
    </row>
    <row r="55" spans="1:7" x14ac:dyDescent="0.35">
      <c r="G55" s="95"/>
    </row>
    <row r="56" spans="1:7" x14ac:dyDescent="0.35">
      <c r="G56" s="95"/>
    </row>
    <row r="57" spans="1:7" x14ac:dyDescent="0.35">
      <c r="G57" s="95"/>
    </row>
    <row r="58" spans="1:7" x14ac:dyDescent="0.35">
      <c r="G58" s="95"/>
    </row>
    <row r="59" spans="1:7" x14ac:dyDescent="0.35">
      <c r="G59" s="95"/>
    </row>
    <row r="60" spans="1:7" x14ac:dyDescent="0.35">
      <c r="G60" s="95"/>
    </row>
  </sheetData>
  <mergeCells count="1">
    <mergeCell ref="M1:R1"/>
  </mergeCells>
  <phoneticPr fontId="16" type="noConversion"/>
  <conditionalFormatting sqref="A28">
    <cfRule type="duplicateValues" dxfId="1" priority="19"/>
  </conditionalFormatting>
  <pageMargins left="0.7" right="0.7" top="0.75" bottom="0.75" header="0.3" footer="0.3"/>
  <pageSetup paperSize="9" scale="63" orientation="landscape" horizontalDpi="0" verticalDpi="0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0E64F-3C63-49F5-960B-CC87587765E8}">
  <dimension ref="A1:D300"/>
  <sheetViews>
    <sheetView workbookViewId="0">
      <selection activeCell="A2" sqref="A2"/>
    </sheetView>
  </sheetViews>
  <sheetFormatPr defaultRowHeight="14.5" x14ac:dyDescent="0.35"/>
  <cols>
    <col min="2" max="2" width="15.08984375" style="285" bestFit="1" customWidth="1"/>
    <col min="3" max="3" width="13.1796875" customWidth="1"/>
    <col min="4" max="4" width="181.26953125" customWidth="1"/>
  </cols>
  <sheetData>
    <row r="1" spans="1:4" x14ac:dyDescent="0.35">
      <c r="A1" t="s">
        <v>226</v>
      </c>
      <c r="B1" t="s">
        <v>227</v>
      </c>
      <c r="C1" t="s">
        <v>228</v>
      </c>
      <c r="D1" t="s">
        <v>229</v>
      </c>
    </row>
    <row r="2" spans="1:4" x14ac:dyDescent="0.35">
      <c r="A2">
        <f>IFERROR([1]!OfficeForms.Table[[#This Row],[Id]],"")</f>
        <v>1</v>
      </c>
      <c r="B2" s="285">
        <f>IFERROR([1]!OfficeForms.Table[[#This Row],[Start time]],"")</f>
        <v>46174</v>
      </c>
      <c r="C2" t="str">
        <f>IFERROR([1]!OfficeForms.Table[[#This Row],[Session]],"")</f>
        <v>training</v>
      </c>
      <c r="D2" t="str">
        <f>IFERROR([1]!OfficeForms.Table[[#This Row],[Players]],"")</f>
        <v>Alf M;Alfie F;</v>
      </c>
    </row>
    <row r="3" spans="1:4" x14ac:dyDescent="0.35">
      <c r="A3">
        <f>IFERROR([1]!OfficeForms.Table[[#This Row],[Id]],"")</f>
        <v>2</v>
      </c>
      <c r="B3" s="285">
        <f>IFERROR([1]!OfficeForms.Table[[#This Row],[Start time]],"")</f>
        <v>46421</v>
      </c>
      <c r="C3" t="str">
        <f>IFERROR([1]!OfficeForms.Table[[#This Row],[Session]],"")</f>
        <v>Training</v>
      </c>
      <c r="D3" t="str">
        <f>IFERROR([1]!OfficeForms.Table[[#This Row],[Players]],"")</f>
        <v>Alf M;Danny;Jamie;Kalan;Liam</v>
      </c>
    </row>
    <row r="4" spans="1:4" x14ac:dyDescent="0.35">
      <c r="A4">
        <f>IFERROR([1]!OfficeForms.Table[[#This Row],[Id]],"")</f>
        <v>3</v>
      </c>
      <c r="B4" s="285">
        <f>IFERROR([1]!OfficeForms.Table[[#This Row],[Start time]],"")</f>
        <v>46203.593356481499</v>
      </c>
      <c r="C4" t="str">
        <f>IFERROR([1]!OfficeForms.Table[[#This Row],[Session]],"")</f>
        <v>Training</v>
      </c>
      <c r="D4" t="str">
        <f>IFERROR([1]!OfficeForms.Table[[#This Row],[Players]],"")</f>
        <v>Alf M;Bailey;Callum;George;Jay;Josh;Kalan;Keiran R;Louie</v>
      </c>
    </row>
    <row r="5" spans="1:4" x14ac:dyDescent="0.35">
      <c r="A5" t="str">
        <f>IFERROR([1]!OfficeForms.Table[[#This Row],[Id]],"")</f>
        <v/>
      </c>
      <c r="B5" s="285" t="str">
        <f>IFERROR([1]!OfficeForms.Table[[#This Row],[Start time]],"")</f>
        <v/>
      </c>
      <c r="C5" t="str">
        <f>IFERROR([1]!OfficeForms.Table[[#This Row],[Session]],"")</f>
        <v/>
      </c>
      <c r="D5" t="str">
        <f>IFERROR([1]!OfficeForms.Table[[#This Row],[Players]],"")</f>
        <v/>
      </c>
    </row>
    <row r="6" spans="1:4" x14ac:dyDescent="0.35">
      <c r="A6" t="str">
        <f>IFERROR([1]!OfficeForms.Table[[#This Row],[Id]],"")</f>
        <v/>
      </c>
      <c r="B6" s="285" t="str">
        <f>IFERROR([1]!OfficeForms.Table[[#This Row],[Start time]],"")</f>
        <v/>
      </c>
      <c r="C6" t="str">
        <f>IFERROR([1]!OfficeForms.Table[[#This Row],[Session]],"")</f>
        <v/>
      </c>
      <c r="D6" t="str">
        <f>IFERROR([1]!OfficeForms.Table[[#This Row],[Players]],"")</f>
        <v/>
      </c>
    </row>
    <row r="7" spans="1:4" x14ac:dyDescent="0.35">
      <c r="A7" t="str">
        <f>IFERROR([1]!OfficeForms.Table[[#This Row],[Id]],"")</f>
        <v/>
      </c>
      <c r="B7" s="285" t="str">
        <f>IFERROR([1]!OfficeForms.Table[[#This Row],[Start time]],"")</f>
        <v/>
      </c>
      <c r="C7" t="str">
        <f>IFERROR([1]!OfficeForms.Table[[#This Row],[Session]],"")</f>
        <v/>
      </c>
      <c r="D7" t="str">
        <f>IFERROR([1]!OfficeForms.Table[[#This Row],[Players]],"")</f>
        <v/>
      </c>
    </row>
    <row r="8" spans="1:4" x14ac:dyDescent="0.35">
      <c r="A8" t="str">
        <f>IFERROR([1]!OfficeForms.Table[[#This Row],[Id]],"")</f>
        <v/>
      </c>
      <c r="B8" s="285" t="str">
        <f>IFERROR([1]!OfficeForms.Table[[#This Row],[Start time]],"")</f>
        <v/>
      </c>
      <c r="C8" t="str">
        <f>IFERROR([1]!OfficeForms.Table[[#This Row],[Session]],"")</f>
        <v/>
      </c>
      <c r="D8" t="str">
        <f>IFERROR([1]!OfficeForms.Table[[#This Row],[Players]],"")</f>
        <v/>
      </c>
    </row>
    <row r="9" spans="1:4" x14ac:dyDescent="0.35">
      <c r="A9" t="str">
        <f>IFERROR([1]!OfficeForms.Table[[#This Row],[Id]],"")</f>
        <v/>
      </c>
      <c r="B9" s="285" t="str">
        <f>IFERROR([1]!OfficeForms.Table[[#This Row],[Start time]],"")</f>
        <v/>
      </c>
      <c r="C9" t="str">
        <f>IFERROR([1]!OfficeForms.Table[[#This Row],[Session]],"")</f>
        <v/>
      </c>
      <c r="D9" t="str">
        <f>IFERROR([1]!OfficeForms.Table[[#This Row],[Players]],"")</f>
        <v/>
      </c>
    </row>
    <row r="10" spans="1:4" x14ac:dyDescent="0.35">
      <c r="A10" t="str">
        <f>IFERROR([1]!OfficeForms.Table[[#This Row],[Id]],"")</f>
        <v/>
      </c>
      <c r="B10" s="285" t="str">
        <f>IFERROR([1]!OfficeForms.Table[[#This Row],[Start time]],"")</f>
        <v/>
      </c>
      <c r="C10" t="str">
        <f>IFERROR([1]!OfficeForms.Table[[#This Row],[Session]],"")</f>
        <v/>
      </c>
      <c r="D10" t="str">
        <f>IFERROR([1]!OfficeForms.Table[[#This Row],[Players]],"")</f>
        <v/>
      </c>
    </row>
    <row r="11" spans="1:4" x14ac:dyDescent="0.35">
      <c r="A11" t="str">
        <f>IFERROR([1]!OfficeForms.Table[[#This Row],[Id]],"")</f>
        <v/>
      </c>
      <c r="B11" s="285" t="str">
        <f>IFERROR([1]!OfficeForms.Table[[#This Row],[Start time]],"")</f>
        <v/>
      </c>
      <c r="C11" t="str">
        <f>IFERROR([1]!OfficeForms.Table[[#This Row],[Session]],"")</f>
        <v/>
      </c>
      <c r="D11" t="str">
        <f>IFERROR([1]!OfficeForms.Table[[#This Row],[Players]],"")</f>
        <v/>
      </c>
    </row>
    <row r="12" spans="1:4" x14ac:dyDescent="0.35">
      <c r="A12" t="str">
        <f>IFERROR([1]!OfficeForms.Table[[#This Row],[Id]],"")</f>
        <v/>
      </c>
      <c r="B12" s="285" t="str">
        <f>IFERROR([1]!OfficeForms.Table[[#This Row],[Start time]],"")</f>
        <v/>
      </c>
      <c r="C12" t="str">
        <f>IFERROR([1]!OfficeForms.Table[[#This Row],[Session]],"")</f>
        <v/>
      </c>
      <c r="D12" t="str">
        <f>IFERROR([1]!OfficeForms.Table[[#This Row],[Players]],"")</f>
        <v/>
      </c>
    </row>
    <row r="13" spans="1:4" x14ac:dyDescent="0.35">
      <c r="A13" t="str">
        <f>IFERROR([1]!OfficeForms.Table[[#This Row],[Id]],"")</f>
        <v/>
      </c>
      <c r="B13" s="285" t="str">
        <f>IFERROR([1]!OfficeForms.Table[[#This Row],[Start time]],"")</f>
        <v/>
      </c>
      <c r="C13" t="str">
        <f>IFERROR([1]!OfficeForms.Table[[#This Row],[Session]],"")</f>
        <v/>
      </c>
      <c r="D13" t="str">
        <f>IFERROR([1]!OfficeForms.Table[[#This Row],[Players]],"")</f>
        <v/>
      </c>
    </row>
    <row r="14" spans="1:4" x14ac:dyDescent="0.35">
      <c r="A14" t="str">
        <f>IFERROR([1]!OfficeForms.Table[[#This Row],[Id]],"")</f>
        <v/>
      </c>
      <c r="B14" s="285" t="str">
        <f>IFERROR([1]!OfficeForms.Table[[#This Row],[Start time]],"")</f>
        <v/>
      </c>
      <c r="C14" t="str">
        <f>IFERROR([1]!OfficeForms.Table[[#This Row],[Session]],"")</f>
        <v/>
      </c>
      <c r="D14" t="str">
        <f>IFERROR([1]!OfficeForms.Table[[#This Row],[Players]],"")</f>
        <v/>
      </c>
    </row>
    <row r="15" spans="1:4" x14ac:dyDescent="0.35">
      <c r="A15" t="str">
        <f>IFERROR([1]!OfficeForms.Table[[#This Row],[Id]],"")</f>
        <v/>
      </c>
      <c r="B15" s="285" t="str">
        <f>IFERROR([1]!OfficeForms.Table[[#This Row],[Start time]],"")</f>
        <v/>
      </c>
      <c r="C15" t="str">
        <f>IFERROR([1]!OfficeForms.Table[[#This Row],[Session]],"")</f>
        <v/>
      </c>
      <c r="D15" t="str">
        <f>IFERROR([1]!OfficeForms.Table[[#This Row],[Players]],"")</f>
        <v/>
      </c>
    </row>
    <row r="16" spans="1:4" x14ac:dyDescent="0.35">
      <c r="A16" t="str">
        <f>IFERROR([1]!OfficeForms.Table[[#This Row],[Id]],"")</f>
        <v/>
      </c>
      <c r="B16" s="285" t="str">
        <f>IFERROR([1]!OfficeForms.Table[[#This Row],[Start time]],"")</f>
        <v/>
      </c>
      <c r="C16" t="str">
        <f>IFERROR([1]!OfficeForms.Table[[#This Row],[Session]],"")</f>
        <v/>
      </c>
      <c r="D16" t="str">
        <f>IFERROR([1]!OfficeForms.Table[[#This Row],[Players]],"")</f>
        <v/>
      </c>
    </row>
    <row r="17" spans="1:4" x14ac:dyDescent="0.35">
      <c r="A17" t="str">
        <f>IFERROR([1]!OfficeForms.Table[[#This Row],[Id]],"")</f>
        <v/>
      </c>
      <c r="B17" s="285" t="str">
        <f>IFERROR([1]!OfficeForms.Table[[#This Row],[Start time]],"")</f>
        <v/>
      </c>
      <c r="C17" t="str">
        <f>IFERROR([1]!OfficeForms.Table[[#This Row],[Session]],"")</f>
        <v/>
      </c>
      <c r="D17" t="str">
        <f>IFERROR([1]!OfficeForms.Table[[#This Row],[Players]],"")</f>
        <v/>
      </c>
    </row>
    <row r="18" spans="1:4" x14ac:dyDescent="0.35">
      <c r="A18" t="str">
        <f>IFERROR([1]!OfficeForms.Table[[#This Row],[Id]],"")</f>
        <v/>
      </c>
      <c r="B18" s="285" t="str">
        <f>IFERROR([1]!OfficeForms.Table[[#This Row],[Start time]],"")</f>
        <v/>
      </c>
      <c r="C18" t="str">
        <f>IFERROR([1]!OfficeForms.Table[[#This Row],[Session]],"")</f>
        <v/>
      </c>
      <c r="D18" t="str">
        <f>IFERROR([1]!OfficeForms.Table[[#This Row],[Players]],"")</f>
        <v/>
      </c>
    </row>
    <row r="19" spans="1:4" x14ac:dyDescent="0.35">
      <c r="A19" t="str">
        <f>IFERROR([1]!OfficeForms.Table[[#This Row],[Id]],"")</f>
        <v/>
      </c>
      <c r="B19" s="285" t="str">
        <f>IFERROR([1]!OfficeForms.Table[[#This Row],[Start time]],"")</f>
        <v/>
      </c>
      <c r="C19" t="str">
        <f>IFERROR([1]!OfficeForms.Table[[#This Row],[Session]],"")</f>
        <v/>
      </c>
      <c r="D19" t="str">
        <f>IFERROR([1]!OfficeForms.Table[[#This Row],[Players]],"")</f>
        <v/>
      </c>
    </row>
    <row r="20" spans="1:4" x14ac:dyDescent="0.35">
      <c r="A20" t="str">
        <f>IFERROR([1]!OfficeForms.Table[[#This Row],[Id]],"")</f>
        <v/>
      </c>
      <c r="B20" s="285" t="str">
        <f>IFERROR([1]!OfficeForms.Table[[#This Row],[Start time]],"")</f>
        <v/>
      </c>
      <c r="C20" t="str">
        <f>IFERROR([1]!OfficeForms.Table[[#This Row],[Session]],"")</f>
        <v/>
      </c>
      <c r="D20" t="str">
        <f>IFERROR([1]!OfficeForms.Table[[#This Row],[Players]],"")</f>
        <v/>
      </c>
    </row>
    <row r="21" spans="1:4" x14ac:dyDescent="0.35">
      <c r="A21" t="str">
        <f>IFERROR([1]!OfficeForms.Table[[#This Row],[Id]],"")</f>
        <v/>
      </c>
      <c r="B21" s="285" t="str">
        <f>IFERROR([1]!OfficeForms.Table[[#This Row],[Start time]],"")</f>
        <v/>
      </c>
      <c r="C21" t="str">
        <f>IFERROR([1]!OfficeForms.Table[[#This Row],[Session]],"")</f>
        <v/>
      </c>
      <c r="D21" t="str">
        <f>IFERROR([1]!OfficeForms.Table[[#This Row],[Players]],"")</f>
        <v/>
      </c>
    </row>
    <row r="22" spans="1:4" x14ac:dyDescent="0.35">
      <c r="A22" t="str">
        <f>IFERROR([1]!OfficeForms.Table[[#This Row],[Id]],"")</f>
        <v/>
      </c>
      <c r="B22" s="285" t="str">
        <f>IFERROR([1]!OfficeForms.Table[[#This Row],[Start time]],"")</f>
        <v/>
      </c>
      <c r="C22" t="str">
        <f>IFERROR([1]!OfficeForms.Table[[#This Row],[Session]],"")</f>
        <v/>
      </c>
      <c r="D22" t="str">
        <f>IFERROR([1]!OfficeForms.Table[[#This Row],[Players]],"")</f>
        <v/>
      </c>
    </row>
    <row r="23" spans="1:4" x14ac:dyDescent="0.35">
      <c r="A23" t="str">
        <f>IFERROR([1]!OfficeForms.Table[[#This Row],[Id]],"")</f>
        <v/>
      </c>
      <c r="B23" s="285" t="str">
        <f>IFERROR([1]!OfficeForms.Table[[#This Row],[Start time]],"")</f>
        <v/>
      </c>
      <c r="C23" t="str">
        <f>IFERROR([1]!OfficeForms.Table[[#This Row],[Session]],"")</f>
        <v/>
      </c>
      <c r="D23" t="str">
        <f>IFERROR([1]!OfficeForms.Table[[#This Row],[Players]],"")</f>
        <v/>
      </c>
    </row>
    <row r="24" spans="1:4" x14ac:dyDescent="0.35">
      <c r="A24" t="str">
        <f>IFERROR([1]!OfficeForms.Table[[#This Row],[Id]],"")</f>
        <v/>
      </c>
      <c r="B24" s="285" t="str">
        <f>IFERROR([1]!OfficeForms.Table[[#This Row],[Start time]],"")</f>
        <v/>
      </c>
      <c r="C24" t="str">
        <f>IFERROR([1]!OfficeForms.Table[[#This Row],[Session]],"")</f>
        <v/>
      </c>
      <c r="D24" t="str">
        <f>IFERROR([1]!OfficeForms.Table[[#This Row],[Players]],"")</f>
        <v/>
      </c>
    </row>
    <row r="25" spans="1:4" x14ac:dyDescent="0.35">
      <c r="A25" t="str">
        <f>IFERROR([1]!OfficeForms.Table[[#This Row],[Id]],"")</f>
        <v/>
      </c>
      <c r="B25" s="285" t="str">
        <f>IFERROR([1]!OfficeForms.Table[[#This Row],[Start time]],"")</f>
        <v/>
      </c>
      <c r="C25" t="str">
        <f>IFERROR([1]!OfficeForms.Table[[#This Row],[Session]],"")</f>
        <v/>
      </c>
      <c r="D25" t="str">
        <f>IFERROR([1]!OfficeForms.Table[[#This Row],[Players]],"")</f>
        <v/>
      </c>
    </row>
    <row r="26" spans="1:4" x14ac:dyDescent="0.35">
      <c r="A26" t="str">
        <f>IFERROR([1]!OfficeForms.Table[[#This Row],[Id]],"")</f>
        <v/>
      </c>
      <c r="B26" s="285" t="str">
        <f>IFERROR([1]!OfficeForms.Table[[#This Row],[Start time]],"")</f>
        <v/>
      </c>
      <c r="C26" t="str">
        <f>IFERROR([1]!OfficeForms.Table[[#This Row],[Session]],"")</f>
        <v/>
      </c>
      <c r="D26" t="str">
        <f>IFERROR([1]!OfficeForms.Table[[#This Row],[Players]],"")</f>
        <v/>
      </c>
    </row>
    <row r="27" spans="1:4" x14ac:dyDescent="0.35">
      <c r="A27" t="str">
        <f>IFERROR([1]!OfficeForms.Table[[#This Row],[Id]],"")</f>
        <v/>
      </c>
      <c r="B27" s="285" t="str">
        <f>IFERROR([1]!OfficeForms.Table[[#This Row],[Start time]],"")</f>
        <v/>
      </c>
      <c r="C27" t="str">
        <f>IFERROR([1]!OfficeForms.Table[[#This Row],[Session]],"")</f>
        <v/>
      </c>
      <c r="D27" t="str">
        <f>IFERROR([1]!OfficeForms.Table[[#This Row],[Players]],"")</f>
        <v/>
      </c>
    </row>
    <row r="28" spans="1:4" x14ac:dyDescent="0.35">
      <c r="A28" t="str">
        <f>IFERROR([1]!OfficeForms.Table[[#This Row],[Id]],"")</f>
        <v/>
      </c>
      <c r="B28" s="285" t="str">
        <f>IFERROR([1]!OfficeForms.Table[[#This Row],[Start time]],"")</f>
        <v/>
      </c>
      <c r="C28" t="str">
        <f>IFERROR([1]!OfficeForms.Table[[#This Row],[Session]],"")</f>
        <v/>
      </c>
      <c r="D28" t="str">
        <f>IFERROR([1]!OfficeForms.Table[[#This Row],[Players]],"")</f>
        <v/>
      </c>
    </row>
    <row r="29" spans="1:4" x14ac:dyDescent="0.35">
      <c r="A29" t="str">
        <f>IFERROR([1]!OfficeForms.Table[[#This Row],[Id]],"")</f>
        <v/>
      </c>
      <c r="B29" s="285" t="str">
        <f>IFERROR([1]!OfficeForms.Table[[#This Row],[Start time]],"")</f>
        <v/>
      </c>
      <c r="C29" t="str">
        <f>IFERROR([1]!OfficeForms.Table[[#This Row],[Session]],"")</f>
        <v/>
      </c>
      <c r="D29" t="str">
        <f>IFERROR([1]!OfficeForms.Table[[#This Row],[Players]],"")</f>
        <v/>
      </c>
    </row>
    <row r="30" spans="1:4" x14ac:dyDescent="0.35">
      <c r="A30" t="str">
        <f>IFERROR([1]!OfficeForms.Table[[#This Row],[Id]],"")</f>
        <v/>
      </c>
      <c r="B30" s="285" t="str">
        <f>IFERROR([1]!OfficeForms.Table[[#This Row],[Start time]],"")</f>
        <v/>
      </c>
      <c r="C30" t="str">
        <f>IFERROR([1]!OfficeForms.Table[[#This Row],[Session]],"")</f>
        <v/>
      </c>
      <c r="D30" t="str">
        <f>IFERROR([1]!OfficeForms.Table[[#This Row],[Players]],"")</f>
        <v/>
      </c>
    </row>
    <row r="31" spans="1:4" x14ac:dyDescent="0.35">
      <c r="A31" t="str">
        <f>IFERROR([1]!OfficeForms.Table[[#This Row],[Id]],"")</f>
        <v/>
      </c>
      <c r="B31" s="285" t="str">
        <f>IFERROR([1]!OfficeForms.Table[[#This Row],[Start time]],"")</f>
        <v/>
      </c>
      <c r="C31" t="str">
        <f>IFERROR([1]!OfficeForms.Table[[#This Row],[Session]],"")</f>
        <v/>
      </c>
      <c r="D31" t="str">
        <f>IFERROR([1]!OfficeForms.Table[[#This Row],[Players]],"")</f>
        <v/>
      </c>
    </row>
    <row r="32" spans="1:4" x14ac:dyDescent="0.35">
      <c r="A32" t="str">
        <f>IFERROR([1]!OfficeForms.Table[[#This Row],[Id]],"")</f>
        <v/>
      </c>
      <c r="B32" s="285" t="str">
        <f>IFERROR([1]!OfficeForms.Table[[#This Row],[Start time]],"")</f>
        <v/>
      </c>
      <c r="C32" t="str">
        <f>IFERROR([1]!OfficeForms.Table[[#This Row],[Session]],"")</f>
        <v/>
      </c>
      <c r="D32" t="str">
        <f>IFERROR([1]!OfficeForms.Table[[#This Row],[Players]],"")</f>
        <v/>
      </c>
    </row>
    <row r="33" spans="1:4" x14ac:dyDescent="0.35">
      <c r="A33" t="str">
        <f>IFERROR([1]!OfficeForms.Table[[#This Row],[Id]],"")</f>
        <v/>
      </c>
      <c r="B33" s="285" t="str">
        <f>IFERROR([1]!OfficeForms.Table[[#This Row],[Start time]],"")</f>
        <v/>
      </c>
      <c r="C33" t="str">
        <f>IFERROR([1]!OfficeForms.Table[[#This Row],[Session]],"")</f>
        <v/>
      </c>
      <c r="D33" t="str">
        <f>IFERROR([1]!OfficeForms.Table[[#This Row],[Players]],"")</f>
        <v/>
      </c>
    </row>
    <row r="34" spans="1:4" x14ac:dyDescent="0.35">
      <c r="A34" t="str">
        <f>IFERROR([1]!OfficeForms.Table[[#This Row],[Id]],"")</f>
        <v/>
      </c>
      <c r="B34" s="285" t="str">
        <f>IFERROR([1]!OfficeForms.Table[[#This Row],[Start time]],"")</f>
        <v/>
      </c>
      <c r="C34" t="str">
        <f>IFERROR([1]!OfficeForms.Table[[#This Row],[Session]],"")</f>
        <v/>
      </c>
      <c r="D34" t="str">
        <f>IFERROR([1]!OfficeForms.Table[[#This Row],[Players]],"")</f>
        <v/>
      </c>
    </row>
    <row r="35" spans="1:4" x14ac:dyDescent="0.35">
      <c r="A35" t="str">
        <f>IFERROR([1]!OfficeForms.Table[[#This Row],[Id]],"")</f>
        <v/>
      </c>
      <c r="B35" s="285" t="str">
        <f>IFERROR([1]!OfficeForms.Table[[#This Row],[Start time]],"")</f>
        <v/>
      </c>
      <c r="C35" t="str">
        <f>IFERROR([1]!OfficeForms.Table[[#This Row],[Session]],"")</f>
        <v/>
      </c>
      <c r="D35" t="str">
        <f>IFERROR([1]!OfficeForms.Table[[#This Row],[Players]],"")</f>
        <v/>
      </c>
    </row>
    <row r="36" spans="1:4" x14ac:dyDescent="0.35">
      <c r="A36" t="str">
        <f>IFERROR([1]!OfficeForms.Table[[#This Row],[Id]],"")</f>
        <v/>
      </c>
      <c r="B36" s="285" t="str">
        <f>IFERROR([1]!OfficeForms.Table[[#This Row],[Start time]],"")</f>
        <v/>
      </c>
      <c r="C36" t="str">
        <f>IFERROR([1]!OfficeForms.Table[[#This Row],[Session]],"")</f>
        <v/>
      </c>
      <c r="D36" t="str">
        <f>IFERROR([1]!OfficeForms.Table[[#This Row],[Players]],"")</f>
        <v/>
      </c>
    </row>
    <row r="37" spans="1:4" x14ac:dyDescent="0.35">
      <c r="A37" t="str">
        <f>IFERROR([1]!OfficeForms.Table[[#This Row],[Id]],"")</f>
        <v/>
      </c>
      <c r="B37" s="285" t="str">
        <f>IFERROR([1]!OfficeForms.Table[[#This Row],[Start time]],"")</f>
        <v/>
      </c>
      <c r="C37" t="str">
        <f>IFERROR([1]!OfficeForms.Table[[#This Row],[Session]],"")</f>
        <v/>
      </c>
      <c r="D37" t="str">
        <f>IFERROR([1]!OfficeForms.Table[[#This Row],[Players]],"")</f>
        <v/>
      </c>
    </row>
    <row r="38" spans="1:4" x14ac:dyDescent="0.35">
      <c r="A38" t="str">
        <f>IFERROR([1]!OfficeForms.Table[[#This Row],[Id]],"")</f>
        <v/>
      </c>
      <c r="B38" s="285" t="str">
        <f>IFERROR([1]!OfficeForms.Table[[#This Row],[Start time]],"")</f>
        <v/>
      </c>
      <c r="C38" t="str">
        <f>IFERROR([1]!OfficeForms.Table[[#This Row],[Session]],"")</f>
        <v/>
      </c>
      <c r="D38" t="str">
        <f>IFERROR([1]!OfficeForms.Table[[#This Row],[Players]],"")</f>
        <v/>
      </c>
    </row>
    <row r="39" spans="1:4" x14ac:dyDescent="0.35">
      <c r="A39" t="str">
        <f>IFERROR([1]!OfficeForms.Table[[#This Row],[Id]],"")</f>
        <v/>
      </c>
      <c r="B39" s="285" t="str">
        <f>IFERROR([1]!OfficeForms.Table[[#This Row],[Start time]],"")</f>
        <v/>
      </c>
      <c r="C39" t="str">
        <f>IFERROR([1]!OfficeForms.Table[[#This Row],[Session]],"")</f>
        <v/>
      </c>
      <c r="D39" t="str">
        <f>IFERROR([1]!OfficeForms.Table[[#This Row],[Players]],"")</f>
        <v/>
      </c>
    </row>
    <row r="40" spans="1:4" x14ac:dyDescent="0.35">
      <c r="A40" t="str">
        <f>IFERROR([1]!OfficeForms.Table[[#This Row],[Id]],"")</f>
        <v/>
      </c>
      <c r="B40" s="285" t="str">
        <f>IFERROR([1]!OfficeForms.Table[[#This Row],[Start time]],"")</f>
        <v/>
      </c>
      <c r="C40" t="str">
        <f>IFERROR([1]!OfficeForms.Table[[#This Row],[Session]],"")</f>
        <v/>
      </c>
      <c r="D40" t="str">
        <f>IFERROR([1]!OfficeForms.Table[[#This Row],[Players]],"")</f>
        <v/>
      </c>
    </row>
    <row r="41" spans="1:4" x14ac:dyDescent="0.35">
      <c r="A41" t="str">
        <f>IFERROR([1]!OfficeForms.Table[[#This Row],[Id]],"")</f>
        <v/>
      </c>
      <c r="B41" s="285" t="str">
        <f>IFERROR([1]!OfficeForms.Table[[#This Row],[Start time]],"")</f>
        <v/>
      </c>
      <c r="C41" t="str">
        <f>IFERROR([1]!OfficeForms.Table[[#This Row],[Session]],"")</f>
        <v/>
      </c>
      <c r="D41" t="str">
        <f>IFERROR([1]!OfficeForms.Table[[#This Row],[Players]],"")</f>
        <v/>
      </c>
    </row>
    <row r="42" spans="1:4" x14ac:dyDescent="0.35">
      <c r="A42" t="str">
        <f>IFERROR([1]!OfficeForms.Table[[#This Row],[Id]],"")</f>
        <v/>
      </c>
      <c r="B42" s="285" t="str">
        <f>IFERROR([1]!OfficeForms.Table[[#This Row],[Start time]],"")</f>
        <v/>
      </c>
      <c r="C42" t="str">
        <f>IFERROR([1]!OfficeForms.Table[[#This Row],[Session]],"")</f>
        <v/>
      </c>
      <c r="D42" t="str">
        <f>IFERROR([1]!OfficeForms.Table[[#This Row],[Players]],"")</f>
        <v/>
      </c>
    </row>
    <row r="43" spans="1:4" x14ac:dyDescent="0.35">
      <c r="A43" t="str">
        <f>IFERROR([1]!OfficeForms.Table[[#This Row],[Id]],"")</f>
        <v/>
      </c>
      <c r="B43" s="285" t="str">
        <f>IFERROR([1]!OfficeForms.Table[[#This Row],[Start time]],"")</f>
        <v/>
      </c>
      <c r="C43" t="str">
        <f>IFERROR([1]!OfficeForms.Table[[#This Row],[Session]],"")</f>
        <v/>
      </c>
      <c r="D43" t="str">
        <f>IFERROR([1]!OfficeForms.Table[[#This Row],[Players]],"")</f>
        <v/>
      </c>
    </row>
    <row r="44" spans="1:4" x14ac:dyDescent="0.35">
      <c r="A44" t="str">
        <f>IFERROR([1]!OfficeForms.Table[[#This Row],[Id]],"")</f>
        <v/>
      </c>
      <c r="B44" s="285" t="str">
        <f>IFERROR([1]!OfficeForms.Table[[#This Row],[Start time]],"")</f>
        <v/>
      </c>
      <c r="C44" t="str">
        <f>IFERROR([1]!OfficeForms.Table[[#This Row],[Session]],"")</f>
        <v/>
      </c>
      <c r="D44" t="str">
        <f>IFERROR([1]!OfficeForms.Table[[#This Row],[Players]],"")</f>
        <v/>
      </c>
    </row>
    <row r="45" spans="1:4" x14ac:dyDescent="0.35">
      <c r="A45" t="str">
        <f>IFERROR([1]!OfficeForms.Table[[#This Row],[Id]],"")</f>
        <v/>
      </c>
      <c r="B45" s="285" t="str">
        <f>IFERROR([1]!OfficeForms.Table[[#This Row],[Start time]],"")</f>
        <v/>
      </c>
      <c r="C45" t="str">
        <f>IFERROR([1]!OfficeForms.Table[[#This Row],[Session]],"")</f>
        <v/>
      </c>
      <c r="D45" t="str">
        <f>IFERROR([1]!OfficeForms.Table[[#This Row],[Players]],"")</f>
        <v/>
      </c>
    </row>
    <row r="46" spans="1:4" x14ac:dyDescent="0.35">
      <c r="A46" t="str">
        <f>IFERROR([1]!OfficeForms.Table[[#This Row],[Id]],"")</f>
        <v/>
      </c>
      <c r="B46" s="285" t="str">
        <f>IFERROR([1]!OfficeForms.Table[[#This Row],[Start time]],"")</f>
        <v/>
      </c>
      <c r="C46" t="str">
        <f>IFERROR([1]!OfficeForms.Table[[#This Row],[Session]],"")</f>
        <v/>
      </c>
      <c r="D46" t="str">
        <f>IFERROR([1]!OfficeForms.Table[[#This Row],[Players]],"")</f>
        <v/>
      </c>
    </row>
    <row r="47" spans="1:4" x14ac:dyDescent="0.35">
      <c r="A47" t="str">
        <f>IFERROR([1]!OfficeForms.Table[[#This Row],[Id]],"")</f>
        <v/>
      </c>
      <c r="B47" s="285" t="str">
        <f>IFERROR([1]!OfficeForms.Table[[#This Row],[Start time]],"")</f>
        <v/>
      </c>
      <c r="C47" t="str">
        <f>IFERROR([1]!OfficeForms.Table[[#This Row],[Session]],"")</f>
        <v/>
      </c>
      <c r="D47" t="str">
        <f>IFERROR([1]!OfficeForms.Table[[#This Row],[Players]],"")</f>
        <v/>
      </c>
    </row>
    <row r="48" spans="1:4" x14ac:dyDescent="0.35">
      <c r="A48" t="str">
        <f>IFERROR([1]!OfficeForms.Table[[#This Row],[Id]],"")</f>
        <v/>
      </c>
      <c r="B48" s="285" t="str">
        <f>IFERROR([1]!OfficeForms.Table[[#This Row],[Start time]],"")</f>
        <v/>
      </c>
      <c r="C48" t="str">
        <f>IFERROR([1]!OfficeForms.Table[[#This Row],[Session]],"")</f>
        <v/>
      </c>
      <c r="D48" t="str">
        <f>IFERROR([1]!OfficeForms.Table[[#This Row],[Players]],"")</f>
        <v/>
      </c>
    </row>
    <row r="49" spans="1:4" x14ac:dyDescent="0.35">
      <c r="A49" t="str">
        <f>IFERROR([1]!OfficeForms.Table[[#This Row],[Id]],"")</f>
        <v/>
      </c>
      <c r="B49" s="285" t="str">
        <f>IFERROR([1]!OfficeForms.Table[[#This Row],[Start time]],"")</f>
        <v/>
      </c>
      <c r="C49" t="str">
        <f>IFERROR([1]!OfficeForms.Table[[#This Row],[Session]],"")</f>
        <v/>
      </c>
      <c r="D49" t="str">
        <f>IFERROR([1]!OfficeForms.Table[[#This Row],[Players]],"")</f>
        <v/>
      </c>
    </row>
    <row r="50" spans="1:4" x14ac:dyDescent="0.35">
      <c r="A50" t="str">
        <f>IFERROR([1]!OfficeForms.Table[[#This Row],[Id]],"")</f>
        <v/>
      </c>
      <c r="B50" s="285" t="str">
        <f>IFERROR([1]!OfficeForms.Table[[#This Row],[Start time]],"")</f>
        <v/>
      </c>
      <c r="C50" t="str">
        <f>IFERROR([1]!OfficeForms.Table[[#This Row],[Session]],"")</f>
        <v/>
      </c>
      <c r="D50" t="str">
        <f>IFERROR([1]!OfficeForms.Table[[#This Row],[Players]],"")</f>
        <v/>
      </c>
    </row>
    <row r="51" spans="1:4" x14ac:dyDescent="0.35">
      <c r="A51" t="str">
        <f>IFERROR([1]!OfficeForms.Table[[#This Row],[Id]],"")</f>
        <v/>
      </c>
      <c r="B51" s="285" t="str">
        <f>IFERROR([1]!OfficeForms.Table[[#This Row],[Start time]],"")</f>
        <v/>
      </c>
      <c r="C51" t="str">
        <f>IFERROR([1]!OfficeForms.Table[[#This Row],[Session]],"")</f>
        <v/>
      </c>
      <c r="D51" t="str">
        <f>IFERROR([1]!OfficeForms.Table[[#This Row],[Players]],"")</f>
        <v/>
      </c>
    </row>
    <row r="52" spans="1:4" x14ac:dyDescent="0.35">
      <c r="A52" t="str">
        <f>IFERROR([1]!OfficeForms.Table[[#This Row],[Id]],"")</f>
        <v/>
      </c>
      <c r="B52" s="285" t="str">
        <f>IFERROR([1]!OfficeForms.Table[[#This Row],[Start time]],"")</f>
        <v/>
      </c>
      <c r="C52" t="str">
        <f>IFERROR([1]!OfficeForms.Table[[#This Row],[Session]],"")</f>
        <v/>
      </c>
      <c r="D52" t="str">
        <f>IFERROR([1]!OfficeForms.Table[[#This Row],[Players]],"")</f>
        <v/>
      </c>
    </row>
    <row r="53" spans="1:4" x14ac:dyDescent="0.35">
      <c r="A53" t="str">
        <f>IFERROR([1]!OfficeForms.Table[[#This Row],[Id]],"")</f>
        <v/>
      </c>
      <c r="B53" s="285" t="str">
        <f>IFERROR([1]!OfficeForms.Table[[#This Row],[Start time]],"")</f>
        <v/>
      </c>
      <c r="C53" t="str">
        <f>IFERROR([1]!OfficeForms.Table[[#This Row],[Session]],"")</f>
        <v/>
      </c>
      <c r="D53" t="str">
        <f>IFERROR([1]!OfficeForms.Table[[#This Row],[Players]],"")</f>
        <v/>
      </c>
    </row>
    <row r="54" spans="1:4" x14ac:dyDescent="0.35">
      <c r="A54" t="str">
        <f>IFERROR([1]!OfficeForms.Table[[#This Row],[Id]],"")</f>
        <v/>
      </c>
      <c r="B54" s="285" t="str">
        <f>IFERROR([1]!OfficeForms.Table[[#This Row],[Start time]],"")</f>
        <v/>
      </c>
      <c r="C54" t="str">
        <f>IFERROR([1]!OfficeForms.Table[[#This Row],[Session]],"")</f>
        <v/>
      </c>
      <c r="D54" t="str">
        <f>IFERROR([1]!OfficeForms.Table[[#This Row],[Players]],"")</f>
        <v/>
      </c>
    </row>
    <row r="55" spans="1:4" x14ac:dyDescent="0.35">
      <c r="A55" t="str">
        <f>IFERROR([1]!OfficeForms.Table[[#This Row],[Id]],"")</f>
        <v/>
      </c>
      <c r="B55" s="285" t="str">
        <f>IFERROR([1]!OfficeForms.Table[[#This Row],[Start time]],"")</f>
        <v/>
      </c>
      <c r="C55" t="str">
        <f>IFERROR([1]!OfficeForms.Table[[#This Row],[Session]],"")</f>
        <v/>
      </c>
      <c r="D55" t="str">
        <f>IFERROR([1]!OfficeForms.Table[[#This Row],[Players]],"")</f>
        <v/>
      </c>
    </row>
    <row r="56" spans="1:4" x14ac:dyDescent="0.35">
      <c r="A56" t="str">
        <f>IFERROR([1]!OfficeForms.Table[[#This Row],[Id]],"")</f>
        <v/>
      </c>
      <c r="B56" s="285" t="str">
        <f>IFERROR([1]!OfficeForms.Table[[#This Row],[Start time]],"")</f>
        <v/>
      </c>
      <c r="C56" t="str">
        <f>IFERROR([1]!OfficeForms.Table[[#This Row],[Session]],"")</f>
        <v/>
      </c>
      <c r="D56" t="str">
        <f>IFERROR([1]!OfficeForms.Table[[#This Row],[Players]],"")</f>
        <v/>
      </c>
    </row>
    <row r="57" spans="1:4" x14ac:dyDescent="0.35">
      <c r="A57" t="str">
        <f>IFERROR([1]!OfficeForms.Table[[#This Row],[Id]],"")</f>
        <v/>
      </c>
      <c r="B57" s="285" t="str">
        <f>IFERROR([1]!OfficeForms.Table[[#This Row],[Start time]],"")</f>
        <v/>
      </c>
      <c r="C57" t="str">
        <f>IFERROR([1]!OfficeForms.Table[[#This Row],[Session]],"")</f>
        <v/>
      </c>
      <c r="D57" t="str">
        <f>IFERROR([1]!OfficeForms.Table[[#This Row],[Players]],"")</f>
        <v/>
      </c>
    </row>
    <row r="58" spans="1:4" x14ac:dyDescent="0.35">
      <c r="A58" t="str">
        <f>IFERROR([1]!OfficeForms.Table[[#This Row],[Id]],"")</f>
        <v/>
      </c>
      <c r="B58" s="285" t="str">
        <f>IFERROR([1]!OfficeForms.Table[[#This Row],[Start time]],"")</f>
        <v/>
      </c>
      <c r="C58" t="str">
        <f>IFERROR([1]!OfficeForms.Table[[#This Row],[Session]],"")</f>
        <v/>
      </c>
      <c r="D58" t="str">
        <f>IFERROR([1]!OfficeForms.Table[[#This Row],[Players]],"")</f>
        <v/>
      </c>
    </row>
    <row r="59" spans="1:4" x14ac:dyDescent="0.35">
      <c r="A59" t="str">
        <f>IFERROR([1]!OfficeForms.Table[[#This Row],[Id]],"")</f>
        <v/>
      </c>
      <c r="B59" s="285" t="str">
        <f>IFERROR([1]!OfficeForms.Table[[#This Row],[Start time]],"")</f>
        <v/>
      </c>
      <c r="C59" t="str">
        <f>IFERROR([1]!OfficeForms.Table[[#This Row],[Session]],"")</f>
        <v/>
      </c>
      <c r="D59" t="str">
        <f>IFERROR([1]!OfficeForms.Table[[#This Row],[Players]],"")</f>
        <v/>
      </c>
    </row>
    <row r="60" spans="1:4" x14ac:dyDescent="0.35">
      <c r="A60" t="str">
        <f>IFERROR([1]!OfficeForms.Table[[#This Row],[Id]],"")</f>
        <v/>
      </c>
      <c r="B60" s="285" t="str">
        <f>IFERROR([1]!OfficeForms.Table[[#This Row],[Start time]],"")</f>
        <v/>
      </c>
      <c r="C60" t="str">
        <f>IFERROR([1]!OfficeForms.Table[[#This Row],[Session]],"")</f>
        <v/>
      </c>
      <c r="D60" t="str">
        <f>IFERROR([1]!OfficeForms.Table[[#This Row],[Players]],"")</f>
        <v/>
      </c>
    </row>
    <row r="61" spans="1:4" x14ac:dyDescent="0.35">
      <c r="A61" t="str">
        <f>IFERROR([1]!OfficeForms.Table[[#This Row],[Id]],"")</f>
        <v/>
      </c>
      <c r="B61" s="285" t="str">
        <f>IFERROR([1]!OfficeForms.Table[[#This Row],[Start time]],"")</f>
        <v/>
      </c>
      <c r="C61" t="str">
        <f>IFERROR([1]!OfficeForms.Table[[#This Row],[Session]],"")</f>
        <v/>
      </c>
      <c r="D61" t="str">
        <f>IFERROR([1]!OfficeForms.Table[[#This Row],[Players]],"")</f>
        <v/>
      </c>
    </row>
    <row r="62" spans="1:4" x14ac:dyDescent="0.35">
      <c r="A62" t="str">
        <f>IFERROR([1]!OfficeForms.Table[[#This Row],[Id]],"")</f>
        <v/>
      </c>
      <c r="B62" s="285" t="str">
        <f>IFERROR([1]!OfficeForms.Table[[#This Row],[Start time]],"")</f>
        <v/>
      </c>
      <c r="C62" t="str">
        <f>IFERROR([1]!OfficeForms.Table[[#This Row],[Session]],"")</f>
        <v/>
      </c>
      <c r="D62" t="str">
        <f>IFERROR([1]!OfficeForms.Table[[#This Row],[Players]],"")</f>
        <v/>
      </c>
    </row>
    <row r="63" spans="1:4" x14ac:dyDescent="0.35">
      <c r="A63" t="str">
        <f>IFERROR([1]!OfficeForms.Table[[#This Row],[Id]],"")</f>
        <v/>
      </c>
      <c r="B63" s="285" t="str">
        <f>IFERROR([1]!OfficeForms.Table[[#This Row],[Start time]],"")</f>
        <v/>
      </c>
      <c r="C63" t="str">
        <f>IFERROR([1]!OfficeForms.Table[[#This Row],[Session]],"")</f>
        <v/>
      </c>
      <c r="D63" t="str">
        <f>IFERROR([1]!OfficeForms.Table[[#This Row],[Players]],"")</f>
        <v/>
      </c>
    </row>
    <row r="64" spans="1:4" x14ac:dyDescent="0.35">
      <c r="A64" t="str">
        <f>IFERROR([1]!OfficeForms.Table[[#This Row],[Id]],"")</f>
        <v/>
      </c>
      <c r="B64" s="285" t="str">
        <f>IFERROR([1]!OfficeForms.Table[[#This Row],[Start time]],"")</f>
        <v/>
      </c>
      <c r="C64" t="str">
        <f>IFERROR([1]!OfficeForms.Table[[#This Row],[Session]],"")</f>
        <v/>
      </c>
      <c r="D64" t="str">
        <f>IFERROR([1]!OfficeForms.Table[[#This Row],[Players]],"")</f>
        <v/>
      </c>
    </row>
    <row r="65" spans="1:4" x14ac:dyDescent="0.35">
      <c r="A65" t="str">
        <f>IFERROR([1]!OfficeForms.Table[[#This Row],[Id]],"")</f>
        <v/>
      </c>
      <c r="B65" s="285" t="str">
        <f>IFERROR([1]!OfficeForms.Table[[#This Row],[Start time]],"")</f>
        <v/>
      </c>
      <c r="C65" t="str">
        <f>IFERROR([1]!OfficeForms.Table[[#This Row],[Session]],"")</f>
        <v/>
      </c>
      <c r="D65" t="str">
        <f>IFERROR([1]!OfficeForms.Table[[#This Row],[Players]],"")</f>
        <v/>
      </c>
    </row>
    <row r="66" spans="1:4" x14ac:dyDescent="0.35">
      <c r="A66" t="str">
        <f>IFERROR([1]!OfficeForms.Table[[#This Row],[Id]],"")</f>
        <v/>
      </c>
      <c r="B66" s="285" t="str">
        <f>IFERROR([1]!OfficeForms.Table[[#This Row],[Start time]],"")</f>
        <v/>
      </c>
      <c r="C66" t="str">
        <f>IFERROR([1]!OfficeForms.Table[[#This Row],[Session]],"")</f>
        <v/>
      </c>
      <c r="D66" t="str">
        <f>IFERROR([1]!OfficeForms.Table[[#This Row],[Players]],"")</f>
        <v/>
      </c>
    </row>
    <row r="67" spans="1:4" x14ac:dyDescent="0.35">
      <c r="A67" t="str">
        <f>IFERROR([1]!OfficeForms.Table[[#This Row],[Id]],"")</f>
        <v/>
      </c>
      <c r="B67" s="285" t="str">
        <f>IFERROR([1]!OfficeForms.Table[[#This Row],[Start time]],"")</f>
        <v/>
      </c>
      <c r="C67" t="str">
        <f>IFERROR([1]!OfficeForms.Table[[#This Row],[Session]],"")</f>
        <v/>
      </c>
      <c r="D67" t="str">
        <f>IFERROR([1]!OfficeForms.Table[[#This Row],[Players]],"")</f>
        <v/>
      </c>
    </row>
    <row r="68" spans="1:4" x14ac:dyDescent="0.35">
      <c r="A68" t="str">
        <f>IFERROR([1]!OfficeForms.Table[[#This Row],[Id]],"")</f>
        <v/>
      </c>
      <c r="B68" s="285" t="str">
        <f>IFERROR([1]!OfficeForms.Table[[#This Row],[Start time]],"")</f>
        <v/>
      </c>
      <c r="C68" t="str">
        <f>IFERROR([1]!OfficeForms.Table[[#This Row],[Session]],"")</f>
        <v/>
      </c>
      <c r="D68" t="str">
        <f>IFERROR([1]!OfficeForms.Table[[#This Row],[Players]],"")</f>
        <v/>
      </c>
    </row>
    <row r="69" spans="1:4" x14ac:dyDescent="0.35">
      <c r="A69" t="str">
        <f>IFERROR([1]!OfficeForms.Table[[#This Row],[Id]],"")</f>
        <v/>
      </c>
      <c r="B69" s="285" t="str">
        <f>IFERROR([1]!OfficeForms.Table[[#This Row],[Start time]],"")</f>
        <v/>
      </c>
      <c r="C69" t="str">
        <f>IFERROR([1]!OfficeForms.Table[[#This Row],[Session]],"")</f>
        <v/>
      </c>
      <c r="D69" t="str">
        <f>IFERROR([1]!OfficeForms.Table[[#This Row],[Players]],"")</f>
        <v/>
      </c>
    </row>
    <row r="70" spans="1:4" x14ac:dyDescent="0.35">
      <c r="A70" t="str">
        <f>IFERROR([1]!OfficeForms.Table[[#This Row],[Id]],"")</f>
        <v/>
      </c>
      <c r="B70" s="285" t="str">
        <f>IFERROR([1]!OfficeForms.Table[[#This Row],[Start time]],"")</f>
        <v/>
      </c>
      <c r="C70" t="str">
        <f>IFERROR([1]!OfficeForms.Table[[#This Row],[Session]],"")</f>
        <v/>
      </c>
      <c r="D70" t="str">
        <f>IFERROR([1]!OfficeForms.Table[[#This Row],[Players]],"")</f>
        <v/>
      </c>
    </row>
    <row r="71" spans="1:4" x14ac:dyDescent="0.35">
      <c r="A71" t="str">
        <f>IFERROR([1]!OfficeForms.Table[[#This Row],[Id]],"")</f>
        <v/>
      </c>
      <c r="B71" s="285" t="str">
        <f>IFERROR([1]!OfficeForms.Table[[#This Row],[Start time]],"")</f>
        <v/>
      </c>
      <c r="C71" t="str">
        <f>IFERROR([1]!OfficeForms.Table[[#This Row],[Session]],"")</f>
        <v/>
      </c>
      <c r="D71" t="str">
        <f>IFERROR([1]!OfficeForms.Table[[#This Row],[Players]],"")</f>
        <v/>
      </c>
    </row>
    <row r="72" spans="1:4" x14ac:dyDescent="0.35">
      <c r="A72" t="str">
        <f>IFERROR([1]!OfficeForms.Table[[#This Row],[Id]],"")</f>
        <v/>
      </c>
      <c r="B72" s="285" t="str">
        <f>IFERROR([1]!OfficeForms.Table[[#This Row],[Start time]],"")</f>
        <v/>
      </c>
      <c r="C72" t="str">
        <f>IFERROR([1]!OfficeForms.Table[[#This Row],[Session]],"")</f>
        <v/>
      </c>
      <c r="D72" t="str">
        <f>IFERROR([1]!OfficeForms.Table[[#This Row],[Players]],"")</f>
        <v/>
      </c>
    </row>
    <row r="73" spans="1:4" x14ac:dyDescent="0.35">
      <c r="A73" t="str">
        <f>IFERROR([1]!OfficeForms.Table[[#This Row],[Id]],"")</f>
        <v/>
      </c>
      <c r="B73" s="285" t="str">
        <f>IFERROR([1]!OfficeForms.Table[[#This Row],[Start time]],"")</f>
        <v/>
      </c>
      <c r="C73" t="str">
        <f>IFERROR([1]!OfficeForms.Table[[#This Row],[Session]],"")</f>
        <v/>
      </c>
      <c r="D73" t="str">
        <f>IFERROR([1]!OfficeForms.Table[[#This Row],[Players]],"")</f>
        <v/>
      </c>
    </row>
    <row r="74" spans="1:4" x14ac:dyDescent="0.35">
      <c r="A74" t="str">
        <f>IFERROR([1]!OfficeForms.Table[[#This Row],[Id]],"")</f>
        <v/>
      </c>
      <c r="B74" s="285" t="str">
        <f>IFERROR([1]!OfficeForms.Table[[#This Row],[Start time]],"")</f>
        <v/>
      </c>
      <c r="C74" t="str">
        <f>IFERROR([1]!OfficeForms.Table[[#This Row],[Session]],"")</f>
        <v/>
      </c>
      <c r="D74" t="str">
        <f>IFERROR([1]!OfficeForms.Table[[#This Row],[Players]],"")</f>
        <v/>
      </c>
    </row>
    <row r="75" spans="1:4" x14ac:dyDescent="0.35">
      <c r="A75" t="str">
        <f>IFERROR([1]!OfficeForms.Table[[#This Row],[Id]],"")</f>
        <v/>
      </c>
      <c r="B75" s="285" t="str">
        <f>IFERROR([1]!OfficeForms.Table[[#This Row],[Start time]],"")</f>
        <v/>
      </c>
      <c r="C75" t="str">
        <f>IFERROR([1]!OfficeForms.Table[[#This Row],[Session]],"")</f>
        <v/>
      </c>
      <c r="D75" t="str">
        <f>IFERROR([1]!OfficeForms.Table[[#This Row],[Players]],"")</f>
        <v/>
      </c>
    </row>
    <row r="76" spans="1:4" x14ac:dyDescent="0.35">
      <c r="A76" t="str">
        <f>IFERROR([1]!OfficeForms.Table[[#This Row],[Id]],"")</f>
        <v/>
      </c>
      <c r="B76" s="285" t="str">
        <f>IFERROR([1]!OfficeForms.Table[[#This Row],[Start time]],"")</f>
        <v/>
      </c>
      <c r="C76" t="str">
        <f>IFERROR([1]!OfficeForms.Table[[#This Row],[Session]],"")</f>
        <v/>
      </c>
      <c r="D76" t="str">
        <f>IFERROR([1]!OfficeForms.Table[[#This Row],[Players]],"")</f>
        <v/>
      </c>
    </row>
    <row r="77" spans="1:4" x14ac:dyDescent="0.35">
      <c r="A77" t="str">
        <f>IFERROR([1]!OfficeForms.Table[[#This Row],[Id]],"")</f>
        <v/>
      </c>
      <c r="B77" s="285" t="str">
        <f>IFERROR([1]!OfficeForms.Table[[#This Row],[Start time]],"")</f>
        <v/>
      </c>
      <c r="C77" t="str">
        <f>IFERROR([1]!OfficeForms.Table[[#This Row],[Session]],"")</f>
        <v/>
      </c>
      <c r="D77" t="str">
        <f>IFERROR([1]!OfficeForms.Table[[#This Row],[Players]],"")</f>
        <v/>
      </c>
    </row>
    <row r="78" spans="1:4" x14ac:dyDescent="0.35">
      <c r="A78" t="str">
        <f>IFERROR([1]!OfficeForms.Table[[#This Row],[Id]],"")</f>
        <v/>
      </c>
      <c r="B78" s="285" t="str">
        <f>IFERROR([1]!OfficeForms.Table[[#This Row],[Start time]],"")</f>
        <v/>
      </c>
      <c r="C78" t="str">
        <f>IFERROR([1]!OfficeForms.Table[[#This Row],[Session]],"")</f>
        <v/>
      </c>
      <c r="D78" t="str">
        <f>IFERROR([1]!OfficeForms.Table[[#This Row],[Players]],"")</f>
        <v/>
      </c>
    </row>
    <row r="79" spans="1:4" x14ac:dyDescent="0.35">
      <c r="A79" t="str">
        <f>IFERROR([1]!OfficeForms.Table[[#This Row],[Id]],"")</f>
        <v/>
      </c>
      <c r="B79" s="285" t="str">
        <f>IFERROR([1]!OfficeForms.Table[[#This Row],[Start time]],"")</f>
        <v/>
      </c>
      <c r="C79" t="str">
        <f>IFERROR([1]!OfficeForms.Table[[#This Row],[Session]],"")</f>
        <v/>
      </c>
      <c r="D79" t="str">
        <f>IFERROR([1]!OfficeForms.Table[[#This Row],[Players]],"")</f>
        <v/>
      </c>
    </row>
    <row r="80" spans="1:4" x14ac:dyDescent="0.35">
      <c r="A80" t="str">
        <f>IFERROR([1]!OfficeForms.Table[[#This Row],[Id]],"")</f>
        <v/>
      </c>
      <c r="B80" s="285" t="str">
        <f>IFERROR([1]!OfficeForms.Table[[#This Row],[Start time]],"")</f>
        <v/>
      </c>
      <c r="C80" t="str">
        <f>IFERROR([1]!OfficeForms.Table[[#This Row],[Session]],"")</f>
        <v/>
      </c>
      <c r="D80" t="str">
        <f>IFERROR([1]!OfficeForms.Table[[#This Row],[Players]],"")</f>
        <v/>
      </c>
    </row>
    <row r="81" spans="1:4" x14ac:dyDescent="0.35">
      <c r="A81" t="str">
        <f>IFERROR([1]!OfficeForms.Table[[#This Row],[Id]],"")</f>
        <v/>
      </c>
      <c r="B81" s="285" t="str">
        <f>IFERROR([1]!OfficeForms.Table[[#This Row],[Start time]],"")</f>
        <v/>
      </c>
      <c r="C81" t="str">
        <f>IFERROR([1]!OfficeForms.Table[[#This Row],[Session]],"")</f>
        <v/>
      </c>
      <c r="D81" t="str">
        <f>IFERROR([1]!OfficeForms.Table[[#This Row],[Players]],"")</f>
        <v/>
      </c>
    </row>
    <row r="82" spans="1:4" x14ac:dyDescent="0.35">
      <c r="A82" t="str">
        <f>IFERROR([1]!OfficeForms.Table[[#This Row],[Id]],"")</f>
        <v/>
      </c>
      <c r="B82" s="285" t="str">
        <f>IFERROR([1]!OfficeForms.Table[[#This Row],[Start time]],"")</f>
        <v/>
      </c>
      <c r="C82" t="str">
        <f>IFERROR([1]!OfficeForms.Table[[#This Row],[Session]],"")</f>
        <v/>
      </c>
      <c r="D82" t="str">
        <f>IFERROR([1]!OfficeForms.Table[[#This Row],[Players]],"")</f>
        <v/>
      </c>
    </row>
    <row r="83" spans="1:4" x14ac:dyDescent="0.35">
      <c r="A83" t="str">
        <f>IFERROR([1]!OfficeForms.Table[[#This Row],[Id]],"")</f>
        <v/>
      </c>
      <c r="B83" s="285" t="str">
        <f>IFERROR([1]!OfficeForms.Table[[#This Row],[Start time]],"")</f>
        <v/>
      </c>
      <c r="C83" t="str">
        <f>IFERROR([1]!OfficeForms.Table[[#This Row],[Session]],"")</f>
        <v/>
      </c>
      <c r="D83" t="str">
        <f>IFERROR([1]!OfficeForms.Table[[#This Row],[Players]],"")</f>
        <v/>
      </c>
    </row>
    <row r="84" spans="1:4" x14ac:dyDescent="0.35">
      <c r="A84" t="str">
        <f>IFERROR([1]!OfficeForms.Table[[#This Row],[Id]],"")</f>
        <v/>
      </c>
      <c r="B84" s="285" t="str">
        <f>IFERROR([1]!OfficeForms.Table[[#This Row],[Start time]],"")</f>
        <v/>
      </c>
      <c r="C84" t="str">
        <f>IFERROR([1]!OfficeForms.Table[[#This Row],[Session]],"")</f>
        <v/>
      </c>
      <c r="D84" t="str">
        <f>IFERROR([1]!OfficeForms.Table[[#This Row],[Players]],"")</f>
        <v/>
      </c>
    </row>
    <row r="85" spans="1:4" x14ac:dyDescent="0.35">
      <c r="A85" t="str">
        <f>IFERROR([1]!OfficeForms.Table[[#This Row],[Id]],"")</f>
        <v/>
      </c>
      <c r="B85" s="285" t="str">
        <f>IFERROR([1]!OfficeForms.Table[[#This Row],[Start time]],"")</f>
        <v/>
      </c>
      <c r="C85" t="str">
        <f>IFERROR([1]!OfficeForms.Table[[#This Row],[Session]],"")</f>
        <v/>
      </c>
      <c r="D85" t="str">
        <f>IFERROR([1]!OfficeForms.Table[[#This Row],[Players]],"")</f>
        <v/>
      </c>
    </row>
    <row r="86" spans="1:4" x14ac:dyDescent="0.35">
      <c r="A86" t="str">
        <f>IFERROR([1]!OfficeForms.Table[[#This Row],[Id]],"")</f>
        <v/>
      </c>
      <c r="B86" s="285" t="str">
        <f>IFERROR([1]!OfficeForms.Table[[#This Row],[Start time]],"")</f>
        <v/>
      </c>
      <c r="C86" t="str">
        <f>IFERROR([1]!OfficeForms.Table[[#This Row],[Session]],"")</f>
        <v/>
      </c>
      <c r="D86" t="str">
        <f>IFERROR([1]!OfficeForms.Table[[#This Row],[Players]],"")</f>
        <v/>
      </c>
    </row>
    <row r="87" spans="1:4" x14ac:dyDescent="0.35">
      <c r="A87" t="str">
        <f>IFERROR([1]!OfficeForms.Table[[#This Row],[Id]],"")</f>
        <v/>
      </c>
      <c r="B87" s="285" t="str">
        <f>IFERROR([1]!OfficeForms.Table[[#This Row],[Start time]],"")</f>
        <v/>
      </c>
      <c r="C87" t="str">
        <f>IFERROR([1]!OfficeForms.Table[[#This Row],[Session]],"")</f>
        <v/>
      </c>
      <c r="D87" t="str">
        <f>IFERROR([1]!OfficeForms.Table[[#This Row],[Players]],"")</f>
        <v/>
      </c>
    </row>
    <row r="88" spans="1:4" x14ac:dyDescent="0.35">
      <c r="A88" t="str">
        <f>IFERROR([1]!OfficeForms.Table[[#This Row],[Id]],"")</f>
        <v/>
      </c>
      <c r="B88" s="285" t="str">
        <f>IFERROR([1]!OfficeForms.Table[[#This Row],[Start time]],"")</f>
        <v/>
      </c>
      <c r="C88" t="str">
        <f>IFERROR([1]!OfficeForms.Table[[#This Row],[Session]],"")</f>
        <v/>
      </c>
      <c r="D88" t="str">
        <f>IFERROR([1]!OfficeForms.Table[[#This Row],[Players]],"")</f>
        <v/>
      </c>
    </row>
    <row r="89" spans="1:4" x14ac:dyDescent="0.35">
      <c r="A89" t="str">
        <f>IFERROR([1]!OfficeForms.Table[[#This Row],[Id]],"")</f>
        <v/>
      </c>
      <c r="B89" s="285" t="str">
        <f>IFERROR([1]!OfficeForms.Table[[#This Row],[Start time]],"")</f>
        <v/>
      </c>
      <c r="C89" t="str">
        <f>IFERROR([1]!OfficeForms.Table[[#This Row],[Session]],"")</f>
        <v/>
      </c>
      <c r="D89" t="str">
        <f>IFERROR([1]!OfficeForms.Table[[#This Row],[Players]],"")</f>
        <v/>
      </c>
    </row>
    <row r="90" spans="1:4" x14ac:dyDescent="0.35">
      <c r="A90" t="str">
        <f>IFERROR([1]!OfficeForms.Table[[#This Row],[Id]],"")</f>
        <v/>
      </c>
      <c r="B90" s="285" t="str">
        <f>IFERROR([1]!OfficeForms.Table[[#This Row],[Start time]],"")</f>
        <v/>
      </c>
      <c r="C90" t="str">
        <f>IFERROR([1]!OfficeForms.Table[[#This Row],[Session]],"")</f>
        <v/>
      </c>
      <c r="D90" t="str">
        <f>IFERROR([1]!OfficeForms.Table[[#This Row],[Players]],"")</f>
        <v/>
      </c>
    </row>
    <row r="91" spans="1:4" x14ac:dyDescent="0.35">
      <c r="A91" t="str">
        <f>IFERROR([1]!OfficeForms.Table[[#This Row],[Id]],"")</f>
        <v/>
      </c>
      <c r="B91" s="285" t="str">
        <f>IFERROR([1]!OfficeForms.Table[[#This Row],[Start time]],"")</f>
        <v/>
      </c>
      <c r="C91" t="str">
        <f>IFERROR([1]!OfficeForms.Table[[#This Row],[Session]],"")</f>
        <v/>
      </c>
      <c r="D91" t="str">
        <f>IFERROR([1]!OfficeForms.Table[[#This Row],[Players]],"")</f>
        <v/>
      </c>
    </row>
    <row r="92" spans="1:4" x14ac:dyDescent="0.35">
      <c r="A92" t="str">
        <f>IFERROR([1]!OfficeForms.Table[[#This Row],[Id]],"")</f>
        <v/>
      </c>
      <c r="B92" s="285" t="str">
        <f>IFERROR([1]!OfficeForms.Table[[#This Row],[Start time]],"")</f>
        <v/>
      </c>
      <c r="C92" t="str">
        <f>IFERROR([1]!OfficeForms.Table[[#This Row],[Session]],"")</f>
        <v/>
      </c>
      <c r="D92" t="str">
        <f>IFERROR([1]!OfficeForms.Table[[#This Row],[Players]],"")</f>
        <v/>
      </c>
    </row>
    <row r="93" spans="1:4" x14ac:dyDescent="0.35">
      <c r="A93" t="str">
        <f>IFERROR([1]!OfficeForms.Table[[#This Row],[Id]],"")</f>
        <v/>
      </c>
      <c r="B93" s="285" t="str">
        <f>IFERROR([1]!OfficeForms.Table[[#This Row],[Start time]],"")</f>
        <v/>
      </c>
      <c r="C93" t="str">
        <f>IFERROR([1]!OfficeForms.Table[[#This Row],[Session]],"")</f>
        <v/>
      </c>
      <c r="D93" t="str">
        <f>IFERROR([1]!OfficeForms.Table[[#This Row],[Players]],"")</f>
        <v/>
      </c>
    </row>
    <row r="94" spans="1:4" x14ac:dyDescent="0.35">
      <c r="A94" t="str">
        <f>IFERROR([1]!OfficeForms.Table[[#This Row],[Id]],"")</f>
        <v/>
      </c>
      <c r="B94" s="285" t="str">
        <f>IFERROR([1]!OfficeForms.Table[[#This Row],[Start time]],"")</f>
        <v/>
      </c>
      <c r="C94" t="str">
        <f>IFERROR([1]!OfficeForms.Table[[#This Row],[Session]],"")</f>
        <v/>
      </c>
      <c r="D94" t="str">
        <f>IFERROR([1]!OfficeForms.Table[[#This Row],[Players]],"")</f>
        <v/>
      </c>
    </row>
    <row r="95" spans="1:4" x14ac:dyDescent="0.35">
      <c r="A95" t="str">
        <f>IFERROR([1]!OfficeForms.Table[[#This Row],[Id]],"")</f>
        <v/>
      </c>
      <c r="B95" s="285" t="str">
        <f>IFERROR([1]!OfficeForms.Table[[#This Row],[Start time]],"")</f>
        <v/>
      </c>
      <c r="C95" t="str">
        <f>IFERROR([1]!OfficeForms.Table[[#This Row],[Session]],"")</f>
        <v/>
      </c>
      <c r="D95" t="str">
        <f>IFERROR([1]!OfficeForms.Table[[#This Row],[Players]],"")</f>
        <v/>
      </c>
    </row>
    <row r="96" spans="1:4" x14ac:dyDescent="0.35">
      <c r="A96" t="str">
        <f>IFERROR([1]!OfficeForms.Table[[#This Row],[Id]],"")</f>
        <v/>
      </c>
      <c r="B96" s="285" t="str">
        <f>IFERROR([1]!OfficeForms.Table[[#This Row],[Start time]],"")</f>
        <v/>
      </c>
      <c r="C96" t="str">
        <f>IFERROR([1]!OfficeForms.Table[[#This Row],[Session]],"")</f>
        <v/>
      </c>
      <c r="D96" t="str">
        <f>IFERROR([1]!OfficeForms.Table[[#This Row],[Players]],"")</f>
        <v/>
      </c>
    </row>
    <row r="97" spans="1:4" x14ac:dyDescent="0.35">
      <c r="A97" t="str">
        <f>IFERROR([1]!OfficeForms.Table[[#This Row],[Id]],"")</f>
        <v/>
      </c>
      <c r="B97" s="285" t="str">
        <f>IFERROR([1]!OfficeForms.Table[[#This Row],[Start time]],"")</f>
        <v/>
      </c>
      <c r="C97" t="str">
        <f>IFERROR([1]!OfficeForms.Table[[#This Row],[Session]],"")</f>
        <v/>
      </c>
      <c r="D97" t="str">
        <f>IFERROR([1]!OfficeForms.Table[[#This Row],[Players]],"")</f>
        <v/>
      </c>
    </row>
    <row r="98" spans="1:4" x14ac:dyDescent="0.35">
      <c r="A98" t="str">
        <f>IFERROR([1]!OfficeForms.Table[[#This Row],[Id]],"")</f>
        <v/>
      </c>
      <c r="B98" s="285" t="str">
        <f>IFERROR([1]!OfficeForms.Table[[#This Row],[Start time]],"")</f>
        <v/>
      </c>
      <c r="C98" t="str">
        <f>IFERROR([1]!OfficeForms.Table[[#This Row],[Session]],"")</f>
        <v/>
      </c>
      <c r="D98" t="str">
        <f>IFERROR([1]!OfficeForms.Table[[#This Row],[Players]],"")</f>
        <v/>
      </c>
    </row>
    <row r="99" spans="1:4" x14ac:dyDescent="0.35">
      <c r="A99" t="str">
        <f>IFERROR([1]!OfficeForms.Table[[#This Row],[Id]],"")</f>
        <v/>
      </c>
      <c r="B99" s="285" t="str">
        <f>IFERROR([1]!OfficeForms.Table[[#This Row],[Start time]],"")</f>
        <v/>
      </c>
      <c r="C99" t="str">
        <f>IFERROR([1]!OfficeForms.Table[[#This Row],[Session]],"")</f>
        <v/>
      </c>
      <c r="D99" t="str">
        <f>IFERROR([1]!OfficeForms.Table[[#This Row],[Players]],"")</f>
        <v/>
      </c>
    </row>
    <row r="100" spans="1:4" x14ac:dyDescent="0.35">
      <c r="A100" t="str">
        <f>IFERROR([1]!OfficeForms.Table[[#This Row],[Id]],"")</f>
        <v/>
      </c>
      <c r="B100" s="285" t="str">
        <f>IFERROR([1]!OfficeForms.Table[[#This Row],[Start time]],"")</f>
        <v/>
      </c>
      <c r="C100" t="str">
        <f>IFERROR([1]!OfficeForms.Table[[#This Row],[Session]],"")</f>
        <v/>
      </c>
      <c r="D100" t="str">
        <f>IFERROR([1]!OfficeForms.Table[[#This Row],[Players]],"")</f>
        <v/>
      </c>
    </row>
    <row r="101" spans="1:4" x14ac:dyDescent="0.35">
      <c r="A101" t="str">
        <f>IFERROR([1]!OfficeForms.Table[[#This Row],[Id]],"")</f>
        <v/>
      </c>
      <c r="B101" s="285" t="str">
        <f>IFERROR([1]!OfficeForms.Table[[#This Row],[Start time]],"")</f>
        <v/>
      </c>
      <c r="C101" t="str">
        <f>IFERROR([1]!OfficeForms.Table[[#This Row],[Session]],"")</f>
        <v/>
      </c>
      <c r="D101" t="str">
        <f>IFERROR([1]!OfficeForms.Table[[#This Row],[Players]],"")</f>
        <v/>
      </c>
    </row>
    <row r="102" spans="1:4" x14ac:dyDescent="0.35">
      <c r="A102" t="str">
        <f>IFERROR([1]!OfficeForms.Table[[#This Row],[Id]],"")</f>
        <v/>
      </c>
      <c r="B102" s="285" t="str">
        <f>IFERROR([1]!OfficeForms.Table[[#This Row],[Start time]],"")</f>
        <v/>
      </c>
      <c r="C102" t="str">
        <f>IFERROR([1]!OfficeForms.Table[[#This Row],[Session]],"")</f>
        <v/>
      </c>
      <c r="D102" t="str">
        <f>IFERROR([1]!OfficeForms.Table[[#This Row],[Players]],"")</f>
        <v/>
      </c>
    </row>
    <row r="103" spans="1:4" x14ac:dyDescent="0.35">
      <c r="A103" t="str">
        <f>IFERROR([1]!OfficeForms.Table[[#This Row],[Id]],"")</f>
        <v/>
      </c>
      <c r="B103" s="285" t="str">
        <f>IFERROR([1]!OfficeForms.Table[[#This Row],[Start time]],"")</f>
        <v/>
      </c>
      <c r="C103" t="str">
        <f>IFERROR([1]!OfficeForms.Table[[#This Row],[Session]],"")</f>
        <v/>
      </c>
      <c r="D103" t="str">
        <f>IFERROR([1]!OfficeForms.Table[[#This Row],[Players]],"")</f>
        <v/>
      </c>
    </row>
    <row r="104" spans="1:4" x14ac:dyDescent="0.35">
      <c r="A104" t="str">
        <f>IFERROR([1]!OfficeForms.Table[[#This Row],[Id]],"")</f>
        <v/>
      </c>
      <c r="B104" s="285" t="str">
        <f>IFERROR([1]!OfficeForms.Table[[#This Row],[Start time]],"")</f>
        <v/>
      </c>
      <c r="C104" t="str">
        <f>IFERROR([1]!OfficeForms.Table[[#This Row],[Session]],"")</f>
        <v/>
      </c>
      <c r="D104" t="str">
        <f>IFERROR([1]!OfficeForms.Table[[#This Row],[Players]],"")</f>
        <v/>
      </c>
    </row>
    <row r="105" spans="1:4" x14ac:dyDescent="0.35">
      <c r="A105" t="str">
        <f>IFERROR([1]!OfficeForms.Table[[#This Row],[Id]],"")</f>
        <v/>
      </c>
      <c r="B105" s="285" t="str">
        <f>IFERROR([1]!OfficeForms.Table[[#This Row],[Start time]],"")</f>
        <v/>
      </c>
      <c r="C105" t="str">
        <f>IFERROR([1]!OfficeForms.Table[[#This Row],[Session]],"")</f>
        <v/>
      </c>
      <c r="D105" t="str">
        <f>IFERROR([1]!OfficeForms.Table[[#This Row],[Players]],"")</f>
        <v/>
      </c>
    </row>
    <row r="106" spans="1:4" x14ac:dyDescent="0.35">
      <c r="A106" t="str">
        <f>IFERROR([1]!OfficeForms.Table[[#This Row],[Id]],"")</f>
        <v/>
      </c>
      <c r="B106" s="285" t="str">
        <f>IFERROR([1]!OfficeForms.Table[[#This Row],[Start time]],"")</f>
        <v/>
      </c>
      <c r="C106" t="str">
        <f>IFERROR([1]!OfficeForms.Table[[#This Row],[Session]],"")</f>
        <v/>
      </c>
      <c r="D106" t="str">
        <f>IFERROR([1]!OfficeForms.Table[[#This Row],[Players]],"")</f>
        <v/>
      </c>
    </row>
    <row r="107" spans="1:4" x14ac:dyDescent="0.35">
      <c r="A107" t="str">
        <f>IFERROR([1]!OfficeForms.Table[[#This Row],[Id]],"")</f>
        <v/>
      </c>
      <c r="B107" s="285" t="str">
        <f>IFERROR([1]!OfficeForms.Table[[#This Row],[Start time]],"")</f>
        <v/>
      </c>
      <c r="C107" t="str">
        <f>IFERROR([1]!OfficeForms.Table[[#This Row],[Session]],"")</f>
        <v/>
      </c>
      <c r="D107" t="str">
        <f>IFERROR([1]!OfficeForms.Table[[#This Row],[Players]],"")</f>
        <v/>
      </c>
    </row>
    <row r="108" spans="1:4" x14ac:dyDescent="0.35">
      <c r="A108" t="str">
        <f>IFERROR([1]!OfficeForms.Table[[#This Row],[Id]],"")</f>
        <v/>
      </c>
      <c r="B108" s="285" t="str">
        <f>IFERROR([1]!OfficeForms.Table[[#This Row],[Start time]],"")</f>
        <v/>
      </c>
      <c r="C108" t="str">
        <f>IFERROR([1]!OfficeForms.Table[[#This Row],[Session]],"")</f>
        <v/>
      </c>
      <c r="D108" t="str">
        <f>IFERROR([1]!OfficeForms.Table[[#This Row],[Players]],"")</f>
        <v/>
      </c>
    </row>
    <row r="109" spans="1:4" x14ac:dyDescent="0.35">
      <c r="A109" t="str">
        <f>IFERROR([1]!OfficeForms.Table[[#This Row],[Id]],"")</f>
        <v/>
      </c>
      <c r="B109" s="285" t="str">
        <f>IFERROR([1]!OfficeForms.Table[[#This Row],[Start time]],"")</f>
        <v/>
      </c>
      <c r="C109" t="str">
        <f>IFERROR([1]!OfficeForms.Table[[#This Row],[Session]],"")</f>
        <v/>
      </c>
      <c r="D109" t="str">
        <f>IFERROR([1]!OfficeForms.Table[[#This Row],[Players]],"")</f>
        <v/>
      </c>
    </row>
    <row r="110" spans="1:4" x14ac:dyDescent="0.35">
      <c r="A110" t="str">
        <f>IFERROR([1]!OfficeForms.Table[[#This Row],[Id]],"")</f>
        <v/>
      </c>
      <c r="B110" s="285" t="str">
        <f>IFERROR([1]!OfficeForms.Table[[#This Row],[Start time]],"")</f>
        <v/>
      </c>
      <c r="C110" t="str">
        <f>IFERROR([1]!OfficeForms.Table[[#This Row],[Session]],"")</f>
        <v/>
      </c>
      <c r="D110" t="str">
        <f>IFERROR([1]!OfficeForms.Table[[#This Row],[Players]],"")</f>
        <v/>
      </c>
    </row>
    <row r="111" spans="1:4" x14ac:dyDescent="0.35">
      <c r="A111" t="str">
        <f>IFERROR([1]!OfficeForms.Table[[#This Row],[Id]],"")</f>
        <v/>
      </c>
      <c r="B111" s="285" t="str">
        <f>IFERROR([1]!OfficeForms.Table[[#This Row],[Start time]],"")</f>
        <v/>
      </c>
      <c r="C111" t="str">
        <f>IFERROR([1]!OfficeForms.Table[[#This Row],[Session]],"")</f>
        <v/>
      </c>
      <c r="D111" t="str">
        <f>IFERROR([1]!OfficeForms.Table[[#This Row],[Players]],"")</f>
        <v/>
      </c>
    </row>
    <row r="112" spans="1:4" x14ac:dyDescent="0.35">
      <c r="A112" t="str">
        <f>IFERROR([1]!OfficeForms.Table[[#This Row],[Id]],"")</f>
        <v/>
      </c>
      <c r="B112" s="285" t="str">
        <f>IFERROR([1]!OfficeForms.Table[[#This Row],[Start time]],"")</f>
        <v/>
      </c>
      <c r="C112" t="str">
        <f>IFERROR([1]!OfficeForms.Table[[#This Row],[Session]],"")</f>
        <v/>
      </c>
      <c r="D112" t="str">
        <f>IFERROR([1]!OfficeForms.Table[[#This Row],[Players]],"")</f>
        <v/>
      </c>
    </row>
    <row r="113" spans="1:4" x14ac:dyDescent="0.35">
      <c r="A113" t="str">
        <f>IFERROR([1]!OfficeForms.Table[[#This Row],[Id]],"")</f>
        <v/>
      </c>
      <c r="B113" s="285" t="str">
        <f>IFERROR([1]!OfficeForms.Table[[#This Row],[Start time]],"")</f>
        <v/>
      </c>
      <c r="C113" t="str">
        <f>IFERROR([1]!OfficeForms.Table[[#This Row],[Session]],"")</f>
        <v/>
      </c>
      <c r="D113" t="str">
        <f>IFERROR([1]!OfficeForms.Table[[#This Row],[Players]],"")</f>
        <v/>
      </c>
    </row>
    <row r="114" spans="1:4" x14ac:dyDescent="0.35">
      <c r="A114" t="str">
        <f>IFERROR([1]!OfficeForms.Table[[#This Row],[Id]],"")</f>
        <v/>
      </c>
      <c r="B114" s="285" t="str">
        <f>IFERROR([1]!OfficeForms.Table[[#This Row],[Start time]],"")</f>
        <v/>
      </c>
      <c r="C114" t="str">
        <f>IFERROR([1]!OfficeForms.Table[[#This Row],[Session]],"")</f>
        <v/>
      </c>
      <c r="D114" t="str">
        <f>IFERROR([1]!OfficeForms.Table[[#This Row],[Players]],"")</f>
        <v/>
      </c>
    </row>
    <row r="115" spans="1:4" x14ac:dyDescent="0.35">
      <c r="A115" t="str">
        <f>IFERROR([1]!OfficeForms.Table[[#This Row],[Id]],"")</f>
        <v/>
      </c>
      <c r="B115" s="285" t="str">
        <f>IFERROR([1]!OfficeForms.Table[[#This Row],[Start time]],"")</f>
        <v/>
      </c>
      <c r="C115" t="str">
        <f>IFERROR([1]!OfficeForms.Table[[#This Row],[Session]],"")</f>
        <v/>
      </c>
      <c r="D115" t="str">
        <f>IFERROR([1]!OfficeForms.Table[[#This Row],[Players]],"")</f>
        <v/>
      </c>
    </row>
    <row r="116" spans="1:4" x14ac:dyDescent="0.35">
      <c r="A116" t="str">
        <f>IFERROR([1]!OfficeForms.Table[[#This Row],[Id]],"")</f>
        <v/>
      </c>
      <c r="B116" s="285" t="str">
        <f>IFERROR([1]!OfficeForms.Table[[#This Row],[Start time]],"")</f>
        <v/>
      </c>
      <c r="C116" t="str">
        <f>IFERROR([1]!OfficeForms.Table[[#This Row],[Session]],"")</f>
        <v/>
      </c>
      <c r="D116" t="str">
        <f>IFERROR([1]!OfficeForms.Table[[#This Row],[Players]],"")</f>
        <v/>
      </c>
    </row>
    <row r="117" spans="1:4" x14ac:dyDescent="0.35">
      <c r="A117" t="str">
        <f>IFERROR([1]!OfficeForms.Table[[#This Row],[Id]],"")</f>
        <v/>
      </c>
      <c r="B117" s="285" t="str">
        <f>IFERROR([1]!OfficeForms.Table[[#This Row],[Start time]],"")</f>
        <v/>
      </c>
      <c r="C117" t="str">
        <f>IFERROR([1]!OfficeForms.Table[[#This Row],[Session]],"")</f>
        <v/>
      </c>
      <c r="D117" t="str">
        <f>IFERROR([1]!OfficeForms.Table[[#This Row],[Players]],"")</f>
        <v/>
      </c>
    </row>
    <row r="118" spans="1:4" x14ac:dyDescent="0.35">
      <c r="A118" t="str">
        <f>IFERROR([1]!OfficeForms.Table[[#This Row],[Id]],"")</f>
        <v/>
      </c>
      <c r="B118" s="285" t="str">
        <f>IFERROR([1]!OfficeForms.Table[[#This Row],[Start time]],"")</f>
        <v/>
      </c>
      <c r="C118" t="str">
        <f>IFERROR([1]!OfficeForms.Table[[#This Row],[Session]],"")</f>
        <v/>
      </c>
      <c r="D118" t="str">
        <f>IFERROR([1]!OfficeForms.Table[[#This Row],[Players]],"")</f>
        <v/>
      </c>
    </row>
    <row r="119" spans="1:4" x14ac:dyDescent="0.35">
      <c r="A119" t="str">
        <f>IFERROR([1]!OfficeForms.Table[[#This Row],[Id]],"")</f>
        <v/>
      </c>
      <c r="B119" s="285" t="str">
        <f>IFERROR([1]!OfficeForms.Table[[#This Row],[Start time]],"")</f>
        <v/>
      </c>
      <c r="C119" t="str">
        <f>IFERROR([1]!OfficeForms.Table[[#This Row],[Session]],"")</f>
        <v/>
      </c>
      <c r="D119" t="str">
        <f>IFERROR([1]!OfficeForms.Table[[#This Row],[Players]],"")</f>
        <v/>
      </c>
    </row>
    <row r="120" spans="1:4" x14ac:dyDescent="0.35">
      <c r="A120" t="str">
        <f>IFERROR([1]!OfficeForms.Table[[#This Row],[Id]],"")</f>
        <v/>
      </c>
      <c r="B120" s="285" t="str">
        <f>IFERROR([1]!OfficeForms.Table[[#This Row],[Start time]],"")</f>
        <v/>
      </c>
      <c r="C120" t="str">
        <f>IFERROR([1]!OfficeForms.Table[[#This Row],[Session]],"")</f>
        <v/>
      </c>
      <c r="D120" t="str">
        <f>IFERROR([1]!OfficeForms.Table[[#This Row],[Players]],"")</f>
        <v/>
      </c>
    </row>
    <row r="121" spans="1:4" x14ac:dyDescent="0.35">
      <c r="A121" t="str">
        <f>IFERROR([1]!OfficeForms.Table[[#This Row],[Id]],"")</f>
        <v/>
      </c>
      <c r="B121" s="285" t="str">
        <f>IFERROR([1]!OfficeForms.Table[[#This Row],[Start time]],"")</f>
        <v/>
      </c>
      <c r="C121" t="str">
        <f>IFERROR([1]!OfficeForms.Table[[#This Row],[Session]],"")</f>
        <v/>
      </c>
      <c r="D121" t="str">
        <f>IFERROR([1]!OfficeForms.Table[[#This Row],[Players]],"")</f>
        <v/>
      </c>
    </row>
    <row r="122" spans="1:4" x14ac:dyDescent="0.35">
      <c r="A122" t="str">
        <f>IFERROR([1]!OfficeForms.Table[[#This Row],[Id]],"")</f>
        <v/>
      </c>
      <c r="B122" s="285" t="str">
        <f>IFERROR([1]!OfficeForms.Table[[#This Row],[Start time]],"")</f>
        <v/>
      </c>
      <c r="C122" t="str">
        <f>IFERROR([1]!OfficeForms.Table[[#This Row],[Session]],"")</f>
        <v/>
      </c>
      <c r="D122" t="str">
        <f>IFERROR([1]!OfficeForms.Table[[#This Row],[Players]],"")</f>
        <v/>
      </c>
    </row>
    <row r="123" spans="1:4" x14ac:dyDescent="0.35">
      <c r="A123" t="str">
        <f>IFERROR([1]!OfficeForms.Table[[#This Row],[Id]],"")</f>
        <v/>
      </c>
      <c r="B123" s="285" t="str">
        <f>IFERROR([1]!OfficeForms.Table[[#This Row],[Start time]],"")</f>
        <v/>
      </c>
      <c r="C123" t="str">
        <f>IFERROR([1]!OfficeForms.Table[[#This Row],[Session]],"")</f>
        <v/>
      </c>
      <c r="D123" t="str">
        <f>IFERROR([1]!OfficeForms.Table[[#This Row],[Players]],"")</f>
        <v/>
      </c>
    </row>
    <row r="124" spans="1:4" x14ac:dyDescent="0.35">
      <c r="A124" t="str">
        <f>IFERROR([1]!OfficeForms.Table[[#This Row],[Id]],"")</f>
        <v/>
      </c>
      <c r="B124" s="285" t="str">
        <f>IFERROR([1]!OfficeForms.Table[[#This Row],[Start time]],"")</f>
        <v/>
      </c>
      <c r="C124" t="str">
        <f>IFERROR([1]!OfficeForms.Table[[#This Row],[Session]],"")</f>
        <v/>
      </c>
      <c r="D124" t="str">
        <f>IFERROR([1]!OfficeForms.Table[[#This Row],[Players]],"")</f>
        <v/>
      </c>
    </row>
    <row r="125" spans="1:4" x14ac:dyDescent="0.35">
      <c r="A125" t="str">
        <f>IFERROR([1]!OfficeForms.Table[[#This Row],[Id]],"")</f>
        <v/>
      </c>
      <c r="B125" s="285" t="str">
        <f>IFERROR([1]!OfficeForms.Table[[#This Row],[Start time]],"")</f>
        <v/>
      </c>
      <c r="C125" t="str">
        <f>IFERROR([1]!OfficeForms.Table[[#This Row],[Session]],"")</f>
        <v/>
      </c>
      <c r="D125" t="str">
        <f>IFERROR([1]!OfficeForms.Table[[#This Row],[Players]],"")</f>
        <v/>
      </c>
    </row>
    <row r="126" spans="1:4" x14ac:dyDescent="0.35">
      <c r="A126" t="str">
        <f>IFERROR([1]!OfficeForms.Table[[#This Row],[Id]],"")</f>
        <v/>
      </c>
      <c r="B126" s="285" t="str">
        <f>IFERROR([1]!OfficeForms.Table[[#This Row],[Start time]],"")</f>
        <v/>
      </c>
      <c r="C126" t="str">
        <f>IFERROR([1]!OfficeForms.Table[[#This Row],[Session]],"")</f>
        <v/>
      </c>
      <c r="D126" t="str">
        <f>IFERROR([1]!OfficeForms.Table[[#This Row],[Players]],"")</f>
        <v/>
      </c>
    </row>
    <row r="127" spans="1:4" x14ac:dyDescent="0.35">
      <c r="A127" t="str">
        <f>IFERROR([1]!OfficeForms.Table[[#This Row],[Id]],"")</f>
        <v/>
      </c>
      <c r="B127" s="285" t="str">
        <f>IFERROR([1]!OfficeForms.Table[[#This Row],[Start time]],"")</f>
        <v/>
      </c>
      <c r="C127" t="str">
        <f>IFERROR([1]!OfficeForms.Table[[#This Row],[Session]],"")</f>
        <v/>
      </c>
      <c r="D127" t="str">
        <f>IFERROR([1]!OfficeForms.Table[[#This Row],[Players]],"")</f>
        <v/>
      </c>
    </row>
    <row r="128" spans="1:4" x14ac:dyDescent="0.35">
      <c r="A128" t="str">
        <f>IFERROR([1]!OfficeForms.Table[[#This Row],[Id]],"")</f>
        <v/>
      </c>
      <c r="B128" s="285" t="str">
        <f>IFERROR([1]!OfficeForms.Table[[#This Row],[Start time]],"")</f>
        <v/>
      </c>
      <c r="C128" t="str">
        <f>IFERROR([1]!OfficeForms.Table[[#This Row],[Session]],"")</f>
        <v/>
      </c>
      <c r="D128" t="str">
        <f>IFERROR([1]!OfficeForms.Table[[#This Row],[Players]],"")</f>
        <v/>
      </c>
    </row>
    <row r="129" spans="1:4" x14ac:dyDescent="0.35">
      <c r="A129" t="str">
        <f>IFERROR([1]!OfficeForms.Table[[#This Row],[Id]],"")</f>
        <v/>
      </c>
      <c r="B129" s="285" t="str">
        <f>IFERROR([1]!OfficeForms.Table[[#This Row],[Start time]],"")</f>
        <v/>
      </c>
      <c r="C129" t="str">
        <f>IFERROR([1]!OfficeForms.Table[[#This Row],[Session]],"")</f>
        <v/>
      </c>
      <c r="D129" t="str">
        <f>IFERROR([1]!OfficeForms.Table[[#This Row],[Players]],"")</f>
        <v/>
      </c>
    </row>
    <row r="130" spans="1:4" x14ac:dyDescent="0.35">
      <c r="A130" t="str">
        <f>IFERROR([1]!OfficeForms.Table[[#This Row],[Id]],"")</f>
        <v/>
      </c>
      <c r="B130" s="285" t="str">
        <f>IFERROR([1]!OfficeForms.Table[[#This Row],[Start time]],"")</f>
        <v/>
      </c>
      <c r="C130" t="str">
        <f>IFERROR([1]!OfficeForms.Table[[#This Row],[Session]],"")</f>
        <v/>
      </c>
      <c r="D130" t="str">
        <f>IFERROR([1]!OfficeForms.Table[[#This Row],[Players]],"")</f>
        <v/>
      </c>
    </row>
    <row r="131" spans="1:4" x14ac:dyDescent="0.35">
      <c r="A131" t="str">
        <f>IFERROR([1]!OfficeForms.Table[[#This Row],[Id]],"")</f>
        <v/>
      </c>
      <c r="B131" s="285" t="str">
        <f>IFERROR([1]!OfficeForms.Table[[#This Row],[Start time]],"")</f>
        <v/>
      </c>
      <c r="C131" t="str">
        <f>IFERROR([1]!OfficeForms.Table[[#This Row],[Session]],"")</f>
        <v/>
      </c>
      <c r="D131" t="str">
        <f>IFERROR([1]!OfficeForms.Table[[#This Row],[Players]],"")</f>
        <v/>
      </c>
    </row>
    <row r="132" spans="1:4" x14ac:dyDescent="0.35">
      <c r="A132" t="str">
        <f>IFERROR([1]!OfficeForms.Table[[#This Row],[Id]],"")</f>
        <v/>
      </c>
      <c r="B132" s="285" t="str">
        <f>IFERROR([1]!OfficeForms.Table[[#This Row],[Start time]],"")</f>
        <v/>
      </c>
      <c r="C132" t="str">
        <f>IFERROR([1]!OfficeForms.Table[[#This Row],[Session]],"")</f>
        <v/>
      </c>
      <c r="D132" t="str">
        <f>IFERROR([1]!OfficeForms.Table[[#This Row],[Players]],"")</f>
        <v/>
      </c>
    </row>
    <row r="133" spans="1:4" x14ac:dyDescent="0.35">
      <c r="A133" t="str">
        <f>IFERROR([1]!OfficeForms.Table[[#This Row],[Id]],"")</f>
        <v/>
      </c>
      <c r="B133" s="285" t="str">
        <f>IFERROR([1]!OfficeForms.Table[[#This Row],[Start time]],"")</f>
        <v/>
      </c>
      <c r="C133" t="str">
        <f>IFERROR([1]!OfficeForms.Table[[#This Row],[Session]],"")</f>
        <v/>
      </c>
      <c r="D133" t="str">
        <f>IFERROR([1]!OfficeForms.Table[[#This Row],[Players]],"")</f>
        <v/>
      </c>
    </row>
    <row r="134" spans="1:4" x14ac:dyDescent="0.35">
      <c r="A134" t="str">
        <f>IFERROR([1]!OfficeForms.Table[[#This Row],[Id]],"")</f>
        <v/>
      </c>
      <c r="B134" s="285" t="str">
        <f>IFERROR([1]!OfficeForms.Table[[#This Row],[Start time]],"")</f>
        <v/>
      </c>
      <c r="C134" t="str">
        <f>IFERROR([1]!OfficeForms.Table[[#This Row],[Session]],"")</f>
        <v/>
      </c>
      <c r="D134" t="str">
        <f>IFERROR([1]!OfficeForms.Table[[#This Row],[Players]],"")</f>
        <v/>
      </c>
    </row>
    <row r="135" spans="1:4" x14ac:dyDescent="0.35">
      <c r="A135" t="str">
        <f>IFERROR([1]!OfficeForms.Table[[#This Row],[Id]],"")</f>
        <v/>
      </c>
      <c r="B135" s="285" t="str">
        <f>IFERROR([1]!OfficeForms.Table[[#This Row],[Start time]],"")</f>
        <v/>
      </c>
      <c r="C135" t="str">
        <f>IFERROR([1]!OfficeForms.Table[[#This Row],[Session]],"")</f>
        <v/>
      </c>
      <c r="D135" t="str">
        <f>IFERROR([1]!OfficeForms.Table[[#This Row],[Players]],"")</f>
        <v/>
      </c>
    </row>
    <row r="136" spans="1:4" x14ac:dyDescent="0.35">
      <c r="A136" t="str">
        <f>IFERROR([1]!OfficeForms.Table[[#This Row],[Id]],"")</f>
        <v/>
      </c>
      <c r="B136" s="285" t="str">
        <f>IFERROR([1]!OfficeForms.Table[[#This Row],[Start time]],"")</f>
        <v/>
      </c>
      <c r="C136" t="str">
        <f>IFERROR([1]!OfficeForms.Table[[#This Row],[Session]],"")</f>
        <v/>
      </c>
      <c r="D136" t="str">
        <f>IFERROR([1]!OfficeForms.Table[[#This Row],[Players]],"")</f>
        <v/>
      </c>
    </row>
    <row r="137" spans="1:4" x14ac:dyDescent="0.35">
      <c r="A137" t="str">
        <f>IFERROR([1]!OfficeForms.Table[[#This Row],[Id]],"")</f>
        <v/>
      </c>
      <c r="B137" s="285" t="str">
        <f>IFERROR([1]!OfficeForms.Table[[#This Row],[Start time]],"")</f>
        <v/>
      </c>
      <c r="C137" t="str">
        <f>IFERROR([1]!OfficeForms.Table[[#This Row],[Session]],"")</f>
        <v/>
      </c>
      <c r="D137" t="str">
        <f>IFERROR([1]!OfficeForms.Table[[#This Row],[Players]],"")</f>
        <v/>
      </c>
    </row>
    <row r="138" spans="1:4" x14ac:dyDescent="0.35">
      <c r="A138" t="str">
        <f>IFERROR([1]!OfficeForms.Table[[#This Row],[Id]],"")</f>
        <v/>
      </c>
      <c r="B138" s="285" t="str">
        <f>IFERROR([1]!OfficeForms.Table[[#This Row],[Start time]],"")</f>
        <v/>
      </c>
      <c r="C138" t="str">
        <f>IFERROR([1]!OfficeForms.Table[[#This Row],[Session]],"")</f>
        <v/>
      </c>
      <c r="D138" t="str">
        <f>IFERROR([1]!OfficeForms.Table[[#This Row],[Players]],"")</f>
        <v/>
      </c>
    </row>
    <row r="139" spans="1:4" x14ac:dyDescent="0.35">
      <c r="A139" t="str">
        <f>IFERROR([1]!OfficeForms.Table[[#This Row],[Id]],"")</f>
        <v/>
      </c>
      <c r="B139" s="285" t="str">
        <f>IFERROR([1]!OfficeForms.Table[[#This Row],[Start time]],"")</f>
        <v/>
      </c>
      <c r="C139" t="str">
        <f>IFERROR([1]!OfficeForms.Table[[#This Row],[Session]],"")</f>
        <v/>
      </c>
      <c r="D139" t="str">
        <f>IFERROR([1]!OfficeForms.Table[[#This Row],[Players]],"")</f>
        <v/>
      </c>
    </row>
    <row r="140" spans="1:4" x14ac:dyDescent="0.35">
      <c r="A140" t="str">
        <f>IFERROR([1]!OfficeForms.Table[[#This Row],[Id]],"")</f>
        <v/>
      </c>
      <c r="B140" s="285" t="str">
        <f>IFERROR([1]!OfficeForms.Table[[#This Row],[Start time]],"")</f>
        <v/>
      </c>
      <c r="C140" t="str">
        <f>IFERROR([1]!OfficeForms.Table[[#This Row],[Session]],"")</f>
        <v/>
      </c>
      <c r="D140" t="str">
        <f>IFERROR([1]!OfficeForms.Table[[#This Row],[Players]],"")</f>
        <v/>
      </c>
    </row>
    <row r="141" spans="1:4" x14ac:dyDescent="0.35">
      <c r="A141" t="str">
        <f>IFERROR([1]!OfficeForms.Table[[#This Row],[Id]],"")</f>
        <v/>
      </c>
      <c r="B141" s="285" t="str">
        <f>IFERROR([1]!OfficeForms.Table[[#This Row],[Start time]],"")</f>
        <v/>
      </c>
      <c r="C141" t="str">
        <f>IFERROR([1]!OfficeForms.Table[[#This Row],[Session]],"")</f>
        <v/>
      </c>
      <c r="D141" t="str">
        <f>IFERROR([1]!OfficeForms.Table[[#This Row],[Players]],"")</f>
        <v/>
      </c>
    </row>
    <row r="142" spans="1:4" x14ac:dyDescent="0.35">
      <c r="A142" t="str">
        <f>IFERROR([1]!OfficeForms.Table[[#This Row],[Id]],"")</f>
        <v/>
      </c>
      <c r="B142" s="285" t="str">
        <f>IFERROR([1]!OfficeForms.Table[[#This Row],[Start time]],"")</f>
        <v/>
      </c>
      <c r="C142" t="str">
        <f>IFERROR([1]!OfficeForms.Table[[#This Row],[Session]],"")</f>
        <v/>
      </c>
      <c r="D142" t="str">
        <f>IFERROR([1]!OfficeForms.Table[[#This Row],[Players]],"")</f>
        <v/>
      </c>
    </row>
    <row r="143" spans="1:4" x14ac:dyDescent="0.35">
      <c r="A143" t="str">
        <f>IFERROR([1]!OfficeForms.Table[[#This Row],[Id]],"")</f>
        <v/>
      </c>
      <c r="B143" s="285" t="str">
        <f>IFERROR([1]!OfficeForms.Table[[#This Row],[Start time]],"")</f>
        <v/>
      </c>
      <c r="C143" t="str">
        <f>IFERROR([1]!OfficeForms.Table[[#This Row],[Session]],"")</f>
        <v/>
      </c>
      <c r="D143" t="str">
        <f>IFERROR([1]!OfficeForms.Table[[#This Row],[Players]],"")</f>
        <v/>
      </c>
    </row>
    <row r="144" spans="1:4" x14ac:dyDescent="0.35">
      <c r="A144" t="str">
        <f>IFERROR([1]!OfficeForms.Table[[#This Row],[Id]],"")</f>
        <v/>
      </c>
      <c r="B144" s="285" t="str">
        <f>IFERROR([1]!OfficeForms.Table[[#This Row],[Start time]],"")</f>
        <v/>
      </c>
      <c r="C144" t="str">
        <f>IFERROR([1]!OfficeForms.Table[[#This Row],[Session]],"")</f>
        <v/>
      </c>
      <c r="D144" t="str">
        <f>IFERROR([1]!OfficeForms.Table[[#This Row],[Players]],"")</f>
        <v/>
      </c>
    </row>
    <row r="145" spans="1:4" x14ac:dyDescent="0.35">
      <c r="A145" t="str">
        <f>IFERROR([1]!OfficeForms.Table[[#This Row],[Id]],"")</f>
        <v/>
      </c>
      <c r="B145" s="285" t="str">
        <f>IFERROR([1]!OfficeForms.Table[[#This Row],[Start time]],"")</f>
        <v/>
      </c>
      <c r="C145" t="str">
        <f>IFERROR([1]!OfficeForms.Table[[#This Row],[Session]],"")</f>
        <v/>
      </c>
      <c r="D145" t="str">
        <f>IFERROR([1]!OfficeForms.Table[[#This Row],[Players]],"")</f>
        <v/>
      </c>
    </row>
    <row r="146" spans="1:4" x14ac:dyDescent="0.35">
      <c r="A146" t="str">
        <f>IFERROR([1]!OfficeForms.Table[[#This Row],[Id]],"")</f>
        <v/>
      </c>
      <c r="B146" s="285" t="str">
        <f>IFERROR([1]!OfficeForms.Table[[#This Row],[Start time]],"")</f>
        <v/>
      </c>
      <c r="C146" t="str">
        <f>IFERROR([1]!OfficeForms.Table[[#This Row],[Session]],"")</f>
        <v/>
      </c>
      <c r="D146" t="str">
        <f>IFERROR([1]!OfficeForms.Table[[#This Row],[Players]],"")</f>
        <v/>
      </c>
    </row>
    <row r="147" spans="1:4" x14ac:dyDescent="0.35">
      <c r="A147" t="str">
        <f>IFERROR([1]!OfficeForms.Table[[#This Row],[Id]],"")</f>
        <v/>
      </c>
      <c r="B147" s="285" t="str">
        <f>IFERROR([1]!OfficeForms.Table[[#This Row],[Start time]],"")</f>
        <v/>
      </c>
      <c r="C147" t="str">
        <f>IFERROR([1]!OfficeForms.Table[[#This Row],[Session]],"")</f>
        <v/>
      </c>
      <c r="D147" t="str">
        <f>IFERROR([1]!OfficeForms.Table[[#This Row],[Players]],"")</f>
        <v/>
      </c>
    </row>
    <row r="148" spans="1:4" x14ac:dyDescent="0.35">
      <c r="A148" t="str">
        <f>IFERROR([1]!OfficeForms.Table[[#This Row],[Id]],"")</f>
        <v/>
      </c>
      <c r="B148" s="285" t="str">
        <f>IFERROR([1]!OfficeForms.Table[[#This Row],[Start time]],"")</f>
        <v/>
      </c>
      <c r="C148" t="str">
        <f>IFERROR([1]!OfficeForms.Table[[#This Row],[Session]],"")</f>
        <v/>
      </c>
      <c r="D148" t="str">
        <f>IFERROR([1]!OfficeForms.Table[[#This Row],[Players]],"")</f>
        <v/>
      </c>
    </row>
    <row r="149" spans="1:4" x14ac:dyDescent="0.35">
      <c r="A149" t="str">
        <f>IFERROR([1]!OfficeForms.Table[[#This Row],[Id]],"")</f>
        <v/>
      </c>
      <c r="B149" s="285" t="str">
        <f>IFERROR([1]!OfficeForms.Table[[#This Row],[Start time]],"")</f>
        <v/>
      </c>
      <c r="C149" t="str">
        <f>IFERROR([1]!OfficeForms.Table[[#This Row],[Session]],"")</f>
        <v/>
      </c>
      <c r="D149" t="str">
        <f>IFERROR([1]!OfficeForms.Table[[#This Row],[Players]],"")</f>
        <v/>
      </c>
    </row>
    <row r="150" spans="1:4" x14ac:dyDescent="0.35">
      <c r="A150" t="str">
        <f>IFERROR([1]!OfficeForms.Table[[#This Row],[Id]],"")</f>
        <v/>
      </c>
      <c r="B150" s="285" t="str">
        <f>IFERROR([1]!OfficeForms.Table[[#This Row],[Start time]],"")</f>
        <v/>
      </c>
      <c r="C150" t="str">
        <f>IFERROR([1]!OfficeForms.Table[[#This Row],[Session]],"")</f>
        <v/>
      </c>
      <c r="D150" t="str">
        <f>IFERROR([1]!OfficeForms.Table[[#This Row],[Players]],"")</f>
        <v/>
      </c>
    </row>
    <row r="151" spans="1:4" x14ac:dyDescent="0.35">
      <c r="A151" t="str">
        <f>IFERROR([1]!OfficeForms.Table[[#This Row],[Id]],"")</f>
        <v/>
      </c>
      <c r="B151" s="285" t="str">
        <f>IFERROR([1]!OfficeForms.Table[[#This Row],[Start time]],"")</f>
        <v/>
      </c>
      <c r="C151" t="str">
        <f>IFERROR([1]!OfficeForms.Table[[#This Row],[Session]],"")</f>
        <v/>
      </c>
      <c r="D151" t="str">
        <f>IFERROR([1]!OfficeForms.Table[[#This Row],[Players]],"")</f>
        <v/>
      </c>
    </row>
    <row r="152" spans="1:4" x14ac:dyDescent="0.35">
      <c r="A152" t="str">
        <f>IFERROR([1]!OfficeForms.Table[[#This Row],[Id]],"")</f>
        <v/>
      </c>
      <c r="B152" s="285" t="str">
        <f>IFERROR([1]!OfficeForms.Table[[#This Row],[Start time]],"")</f>
        <v/>
      </c>
      <c r="C152" t="str">
        <f>IFERROR([1]!OfficeForms.Table[[#This Row],[Session]],"")</f>
        <v/>
      </c>
      <c r="D152" t="str">
        <f>IFERROR([1]!OfficeForms.Table[[#This Row],[Players]],"")</f>
        <v/>
      </c>
    </row>
    <row r="153" spans="1:4" x14ac:dyDescent="0.35">
      <c r="A153" t="str">
        <f>IFERROR([1]!OfficeForms.Table[[#This Row],[Id]],"")</f>
        <v/>
      </c>
      <c r="B153" s="285" t="str">
        <f>IFERROR([1]!OfficeForms.Table[[#This Row],[Start time]],"")</f>
        <v/>
      </c>
      <c r="C153" t="str">
        <f>IFERROR([1]!OfficeForms.Table[[#This Row],[Session]],"")</f>
        <v/>
      </c>
      <c r="D153" t="str">
        <f>IFERROR([1]!OfficeForms.Table[[#This Row],[Players]],"")</f>
        <v/>
      </c>
    </row>
    <row r="154" spans="1:4" x14ac:dyDescent="0.35">
      <c r="A154" t="str">
        <f>IFERROR([1]!OfficeForms.Table[[#This Row],[Id]],"")</f>
        <v/>
      </c>
      <c r="B154" s="285" t="str">
        <f>IFERROR([1]!OfficeForms.Table[[#This Row],[Start time]],"")</f>
        <v/>
      </c>
      <c r="C154" t="str">
        <f>IFERROR([1]!OfficeForms.Table[[#This Row],[Session]],"")</f>
        <v/>
      </c>
      <c r="D154" t="str">
        <f>IFERROR([1]!OfficeForms.Table[[#This Row],[Players]],"")</f>
        <v/>
      </c>
    </row>
    <row r="155" spans="1:4" x14ac:dyDescent="0.35">
      <c r="A155" t="str">
        <f>IFERROR([1]!OfficeForms.Table[[#This Row],[Id]],"")</f>
        <v/>
      </c>
      <c r="B155" s="285" t="str">
        <f>IFERROR([1]!OfficeForms.Table[[#This Row],[Start time]],"")</f>
        <v/>
      </c>
      <c r="C155" t="str">
        <f>IFERROR([1]!OfficeForms.Table[[#This Row],[Session]],"")</f>
        <v/>
      </c>
      <c r="D155" t="str">
        <f>IFERROR([1]!OfficeForms.Table[[#This Row],[Players]],"")</f>
        <v/>
      </c>
    </row>
    <row r="156" spans="1:4" x14ac:dyDescent="0.35">
      <c r="A156" t="str">
        <f>IFERROR([1]!OfficeForms.Table[[#This Row],[Id]],"")</f>
        <v/>
      </c>
      <c r="B156" s="285" t="str">
        <f>IFERROR([1]!OfficeForms.Table[[#This Row],[Start time]],"")</f>
        <v/>
      </c>
      <c r="C156" t="str">
        <f>IFERROR([1]!OfficeForms.Table[[#This Row],[Session]],"")</f>
        <v/>
      </c>
      <c r="D156" t="str">
        <f>IFERROR([1]!OfficeForms.Table[[#This Row],[Players]],"")</f>
        <v/>
      </c>
    </row>
    <row r="157" spans="1:4" x14ac:dyDescent="0.35">
      <c r="A157" t="str">
        <f>IFERROR([1]!OfficeForms.Table[[#This Row],[Id]],"")</f>
        <v/>
      </c>
      <c r="B157" s="285" t="str">
        <f>IFERROR([1]!OfficeForms.Table[[#This Row],[Start time]],"")</f>
        <v/>
      </c>
      <c r="C157" t="str">
        <f>IFERROR([1]!OfficeForms.Table[[#This Row],[Session]],"")</f>
        <v/>
      </c>
      <c r="D157" t="str">
        <f>IFERROR([1]!OfficeForms.Table[[#This Row],[Players]],"")</f>
        <v/>
      </c>
    </row>
    <row r="158" spans="1:4" x14ac:dyDescent="0.35">
      <c r="A158" t="str">
        <f>IFERROR([1]!OfficeForms.Table[[#This Row],[Id]],"")</f>
        <v/>
      </c>
      <c r="B158" s="285" t="str">
        <f>IFERROR([1]!OfficeForms.Table[[#This Row],[Start time]],"")</f>
        <v/>
      </c>
      <c r="C158" t="str">
        <f>IFERROR([1]!OfficeForms.Table[[#This Row],[Session]],"")</f>
        <v/>
      </c>
      <c r="D158" t="str">
        <f>IFERROR([1]!OfficeForms.Table[[#This Row],[Players]],"")</f>
        <v/>
      </c>
    </row>
    <row r="159" spans="1:4" x14ac:dyDescent="0.35">
      <c r="A159" t="str">
        <f>IFERROR([1]!OfficeForms.Table[[#This Row],[Id]],"")</f>
        <v/>
      </c>
      <c r="B159" s="285" t="str">
        <f>IFERROR([1]!OfficeForms.Table[[#This Row],[Start time]],"")</f>
        <v/>
      </c>
      <c r="C159" t="str">
        <f>IFERROR([1]!OfficeForms.Table[[#This Row],[Session]],"")</f>
        <v/>
      </c>
      <c r="D159" t="str">
        <f>IFERROR([1]!OfficeForms.Table[[#This Row],[Players]],"")</f>
        <v/>
      </c>
    </row>
    <row r="160" spans="1:4" x14ac:dyDescent="0.35">
      <c r="A160" t="str">
        <f>IFERROR([1]!OfficeForms.Table[[#This Row],[Id]],"")</f>
        <v/>
      </c>
      <c r="B160" s="285" t="str">
        <f>IFERROR([1]!OfficeForms.Table[[#This Row],[Start time]],"")</f>
        <v/>
      </c>
      <c r="C160" t="str">
        <f>IFERROR([1]!OfficeForms.Table[[#This Row],[Session]],"")</f>
        <v/>
      </c>
      <c r="D160" t="str">
        <f>IFERROR([1]!OfficeForms.Table[[#This Row],[Players]],"")</f>
        <v/>
      </c>
    </row>
    <row r="161" spans="1:4" x14ac:dyDescent="0.35">
      <c r="A161" t="str">
        <f>IFERROR([1]!OfficeForms.Table[[#This Row],[Id]],"")</f>
        <v/>
      </c>
      <c r="B161" s="285" t="str">
        <f>IFERROR([1]!OfficeForms.Table[[#This Row],[Start time]],"")</f>
        <v/>
      </c>
      <c r="C161" t="str">
        <f>IFERROR([1]!OfficeForms.Table[[#This Row],[Session]],"")</f>
        <v/>
      </c>
      <c r="D161" t="str">
        <f>IFERROR([1]!OfficeForms.Table[[#This Row],[Players]],"")</f>
        <v/>
      </c>
    </row>
    <row r="162" spans="1:4" x14ac:dyDescent="0.35">
      <c r="A162" t="str">
        <f>IFERROR([1]!OfficeForms.Table[[#This Row],[Id]],"")</f>
        <v/>
      </c>
      <c r="B162" s="285" t="str">
        <f>IFERROR([1]!OfficeForms.Table[[#This Row],[Start time]],"")</f>
        <v/>
      </c>
      <c r="C162" t="str">
        <f>IFERROR([1]!OfficeForms.Table[[#This Row],[Session]],"")</f>
        <v/>
      </c>
      <c r="D162" t="str">
        <f>IFERROR([1]!OfficeForms.Table[[#This Row],[Players]],"")</f>
        <v/>
      </c>
    </row>
    <row r="163" spans="1:4" x14ac:dyDescent="0.35">
      <c r="A163" t="str">
        <f>IFERROR([1]!OfficeForms.Table[[#This Row],[Id]],"")</f>
        <v/>
      </c>
      <c r="B163" s="285" t="str">
        <f>IFERROR([1]!OfficeForms.Table[[#This Row],[Start time]],"")</f>
        <v/>
      </c>
      <c r="C163" t="str">
        <f>IFERROR([1]!OfficeForms.Table[[#This Row],[Session]],"")</f>
        <v/>
      </c>
      <c r="D163" t="str">
        <f>IFERROR([1]!OfficeForms.Table[[#This Row],[Players]],"")</f>
        <v/>
      </c>
    </row>
    <row r="164" spans="1:4" x14ac:dyDescent="0.35">
      <c r="A164" t="str">
        <f>IFERROR([1]!OfficeForms.Table[[#This Row],[Id]],"")</f>
        <v/>
      </c>
      <c r="B164" s="285" t="str">
        <f>IFERROR([1]!OfficeForms.Table[[#This Row],[Start time]],"")</f>
        <v/>
      </c>
      <c r="C164" t="str">
        <f>IFERROR([1]!OfficeForms.Table[[#This Row],[Session]],"")</f>
        <v/>
      </c>
      <c r="D164" t="str">
        <f>IFERROR([1]!OfficeForms.Table[[#This Row],[Players]],"")</f>
        <v/>
      </c>
    </row>
    <row r="165" spans="1:4" x14ac:dyDescent="0.35">
      <c r="A165" t="str">
        <f>IFERROR([1]!OfficeForms.Table[[#This Row],[Id]],"")</f>
        <v/>
      </c>
      <c r="B165" s="285" t="str">
        <f>IFERROR([1]!OfficeForms.Table[[#This Row],[Start time]],"")</f>
        <v/>
      </c>
      <c r="C165" t="str">
        <f>IFERROR([1]!OfficeForms.Table[[#This Row],[Session]],"")</f>
        <v/>
      </c>
      <c r="D165" t="str">
        <f>IFERROR([1]!OfficeForms.Table[[#This Row],[Players]],"")</f>
        <v/>
      </c>
    </row>
    <row r="166" spans="1:4" x14ac:dyDescent="0.35">
      <c r="A166" t="str">
        <f>IFERROR([1]!OfficeForms.Table[[#This Row],[Id]],"")</f>
        <v/>
      </c>
      <c r="B166" s="285" t="str">
        <f>IFERROR([1]!OfficeForms.Table[[#This Row],[Start time]],"")</f>
        <v/>
      </c>
      <c r="C166" t="str">
        <f>IFERROR([1]!OfficeForms.Table[[#This Row],[Session]],"")</f>
        <v/>
      </c>
      <c r="D166" t="str">
        <f>IFERROR([1]!OfficeForms.Table[[#This Row],[Players]],"")</f>
        <v/>
      </c>
    </row>
    <row r="167" spans="1:4" x14ac:dyDescent="0.35">
      <c r="A167" t="str">
        <f>IFERROR([1]!OfficeForms.Table[[#This Row],[Id]],"")</f>
        <v/>
      </c>
      <c r="B167" s="285" t="str">
        <f>IFERROR([1]!OfficeForms.Table[[#This Row],[Start time]],"")</f>
        <v/>
      </c>
      <c r="C167" t="str">
        <f>IFERROR([1]!OfficeForms.Table[[#This Row],[Session]],"")</f>
        <v/>
      </c>
      <c r="D167" t="str">
        <f>IFERROR([1]!OfficeForms.Table[[#This Row],[Players]],"")</f>
        <v/>
      </c>
    </row>
    <row r="168" spans="1:4" x14ac:dyDescent="0.35">
      <c r="A168" t="str">
        <f>IFERROR([1]!OfficeForms.Table[[#This Row],[Id]],"")</f>
        <v/>
      </c>
      <c r="B168" s="285" t="str">
        <f>IFERROR([1]!OfficeForms.Table[[#This Row],[Start time]],"")</f>
        <v/>
      </c>
      <c r="C168" t="str">
        <f>IFERROR([1]!OfficeForms.Table[[#This Row],[Session]],"")</f>
        <v/>
      </c>
      <c r="D168" t="str">
        <f>IFERROR([1]!OfficeForms.Table[[#This Row],[Players]],"")</f>
        <v/>
      </c>
    </row>
    <row r="169" spans="1:4" x14ac:dyDescent="0.35">
      <c r="A169" t="str">
        <f>IFERROR([1]!OfficeForms.Table[[#This Row],[Id]],"")</f>
        <v/>
      </c>
      <c r="B169" s="285" t="str">
        <f>IFERROR([1]!OfficeForms.Table[[#This Row],[Start time]],"")</f>
        <v/>
      </c>
      <c r="C169" t="str">
        <f>IFERROR([1]!OfficeForms.Table[[#This Row],[Session]],"")</f>
        <v/>
      </c>
      <c r="D169" t="str">
        <f>IFERROR([1]!OfficeForms.Table[[#This Row],[Players]],"")</f>
        <v/>
      </c>
    </row>
    <row r="170" spans="1:4" x14ac:dyDescent="0.35">
      <c r="A170" t="str">
        <f>IFERROR([1]!OfficeForms.Table[[#This Row],[Id]],"")</f>
        <v/>
      </c>
      <c r="B170" s="285" t="str">
        <f>IFERROR([1]!OfficeForms.Table[[#This Row],[Start time]],"")</f>
        <v/>
      </c>
      <c r="C170" t="str">
        <f>IFERROR([1]!OfficeForms.Table[[#This Row],[Session]],"")</f>
        <v/>
      </c>
      <c r="D170" t="str">
        <f>IFERROR([1]!OfficeForms.Table[[#This Row],[Players]],"")</f>
        <v/>
      </c>
    </row>
    <row r="171" spans="1:4" x14ac:dyDescent="0.35">
      <c r="A171" t="str">
        <f>IFERROR([1]!OfficeForms.Table[[#This Row],[Id]],"")</f>
        <v/>
      </c>
      <c r="B171" s="285" t="str">
        <f>IFERROR([1]!OfficeForms.Table[[#This Row],[Start time]],"")</f>
        <v/>
      </c>
      <c r="C171" t="str">
        <f>IFERROR([1]!OfficeForms.Table[[#This Row],[Session]],"")</f>
        <v/>
      </c>
      <c r="D171" t="str">
        <f>IFERROR([1]!OfficeForms.Table[[#This Row],[Players]],"")</f>
        <v/>
      </c>
    </row>
    <row r="172" spans="1:4" x14ac:dyDescent="0.35">
      <c r="A172" t="str">
        <f>IFERROR([1]!OfficeForms.Table[[#This Row],[Id]],"")</f>
        <v/>
      </c>
      <c r="B172" s="285" t="str">
        <f>IFERROR([1]!OfficeForms.Table[[#This Row],[Start time]],"")</f>
        <v/>
      </c>
      <c r="C172" t="str">
        <f>IFERROR([1]!OfficeForms.Table[[#This Row],[Session]],"")</f>
        <v/>
      </c>
      <c r="D172" t="str">
        <f>IFERROR([1]!OfficeForms.Table[[#This Row],[Players]],"")</f>
        <v/>
      </c>
    </row>
    <row r="173" spans="1:4" x14ac:dyDescent="0.35">
      <c r="A173" t="str">
        <f>IFERROR([1]!OfficeForms.Table[[#This Row],[Id]],"")</f>
        <v/>
      </c>
      <c r="B173" s="285" t="str">
        <f>IFERROR([1]!OfficeForms.Table[[#This Row],[Start time]],"")</f>
        <v/>
      </c>
      <c r="C173" t="str">
        <f>IFERROR([1]!OfficeForms.Table[[#This Row],[Session]],"")</f>
        <v/>
      </c>
      <c r="D173" t="str">
        <f>IFERROR([1]!OfficeForms.Table[[#This Row],[Players]],"")</f>
        <v/>
      </c>
    </row>
    <row r="174" spans="1:4" x14ac:dyDescent="0.35">
      <c r="A174" t="str">
        <f>IFERROR([1]!OfficeForms.Table[[#This Row],[Id]],"")</f>
        <v/>
      </c>
      <c r="B174" s="285" t="str">
        <f>IFERROR([1]!OfficeForms.Table[[#This Row],[Start time]],"")</f>
        <v/>
      </c>
      <c r="C174" t="str">
        <f>IFERROR([1]!OfficeForms.Table[[#This Row],[Session]],"")</f>
        <v/>
      </c>
      <c r="D174" t="str">
        <f>IFERROR([1]!OfficeForms.Table[[#This Row],[Players]],"")</f>
        <v/>
      </c>
    </row>
    <row r="175" spans="1:4" x14ac:dyDescent="0.35">
      <c r="A175" t="str">
        <f>IFERROR([1]!OfficeForms.Table[[#This Row],[Id]],"")</f>
        <v/>
      </c>
      <c r="B175" s="285" t="str">
        <f>IFERROR([1]!OfficeForms.Table[[#This Row],[Start time]],"")</f>
        <v/>
      </c>
      <c r="C175" t="str">
        <f>IFERROR([1]!OfficeForms.Table[[#This Row],[Session]],"")</f>
        <v/>
      </c>
      <c r="D175" t="str">
        <f>IFERROR([1]!OfficeForms.Table[[#This Row],[Players]],"")</f>
        <v/>
      </c>
    </row>
    <row r="176" spans="1:4" x14ac:dyDescent="0.35">
      <c r="A176" t="str">
        <f>IFERROR([1]!OfficeForms.Table[[#This Row],[Id]],"")</f>
        <v/>
      </c>
      <c r="B176" s="285" t="str">
        <f>IFERROR([1]!OfficeForms.Table[[#This Row],[Start time]],"")</f>
        <v/>
      </c>
      <c r="C176" t="str">
        <f>IFERROR([1]!OfficeForms.Table[[#This Row],[Session]],"")</f>
        <v/>
      </c>
      <c r="D176" t="str">
        <f>IFERROR([1]!OfficeForms.Table[[#This Row],[Players]],"")</f>
        <v/>
      </c>
    </row>
    <row r="177" spans="1:4" x14ac:dyDescent="0.35">
      <c r="A177" t="str">
        <f>IFERROR([1]!OfficeForms.Table[[#This Row],[Id]],"")</f>
        <v/>
      </c>
      <c r="B177" s="285" t="str">
        <f>IFERROR([1]!OfficeForms.Table[[#This Row],[Start time]],"")</f>
        <v/>
      </c>
      <c r="C177" t="str">
        <f>IFERROR([1]!OfficeForms.Table[[#This Row],[Session]],"")</f>
        <v/>
      </c>
      <c r="D177" t="str">
        <f>IFERROR([1]!OfficeForms.Table[[#This Row],[Players]],"")</f>
        <v/>
      </c>
    </row>
    <row r="178" spans="1:4" x14ac:dyDescent="0.35">
      <c r="A178" t="str">
        <f>IFERROR([1]!OfficeForms.Table[[#This Row],[Id]],"")</f>
        <v/>
      </c>
      <c r="B178" s="285" t="str">
        <f>IFERROR([1]!OfficeForms.Table[[#This Row],[Start time]],"")</f>
        <v/>
      </c>
      <c r="C178" t="str">
        <f>IFERROR([1]!OfficeForms.Table[[#This Row],[Session]],"")</f>
        <v/>
      </c>
      <c r="D178" t="str">
        <f>IFERROR([1]!OfficeForms.Table[[#This Row],[Players]],"")</f>
        <v/>
      </c>
    </row>
    <row r="179" spans="1:4" x14ac:dyDescent="0.35">
      <c r="A179" t="str">
        <f>IFERROR([1]!OfficeForms.Table[[#This Row],[Id]],"")</f>
        <v/>
      </c>
      <c r="B179" s="285" t="str">
        <f>IFERROR([1]!OfficeForms.Table[[#This Row],[Start time]],"")</f>
        <v/>
      </c>
      <c r="C179" t="str">
        <f>IFERROR([1]!OfficeForms.Table[[#This Row],[Session]],"")</f>
        <v/>
      </c>
      <c r="D179" t="str">
        <f>IFERROR([1]!OfficeForms.Table[[#This Row],[Players]],"")</f>
        <v/>
      </c>
    </row>
    <row r="180" spans="1:4" x14ac:dyDescent="0.35">
      <c r="A180" t="str">
        <f>IFERROR([1]!OfficeForms.Table[[#This Row],[Id]],"")</f>
        <v/>
      </c>
      <c r="B180" s="285" t="str">
        <f>IFERROR([1]!OfficeForms.Table[[#This Row],[Start time]],"")</f>
        <v/>
      </c>
      <c r="C180" t="str">
        <f>IFERROR([1]!OfficeForms.Table[[#This Row],[Session]],"")</f>
        <v/>
      </c>
      <c r="D180" t="str">
        <f>IFERROR([1]!OfficeForms.Table[[#This Row],[Players]],"")</f>
        <v/>
      </c>
    </row>
    <row r="181" spans="1:4" x14ac:dyDescent="0.35">
      <c r="A181" t="str">
        <f>IFERROR([1]!OfficeForms.Table[[#This Row],[Id]],"")</f>
        <v/>
      </c>
      <c r="B181" s="285" t="str">
        <f>IFERROR([1]!OfficeForms.Table[[#This Row],[Start time]],"")</f>
        <v/>
      </c>
      <c r="C181" t="str">
        <f>IFERROR([1]!OfficeForms.Table[[#This Row],[Session]],"")</f>
        <v/>
      </c>
      <c r="D181" t="str">
        <f>IFERROR([1]!OfficeForms.Table[[#This Row],[Players]],"")</f>
        <v/>
      </c>
    </row>
    <row r="182" spans="1:4" x14ac:dyDescent="0.35">
      <c r="A182" t="str">
        <f>IFERROR([1]!OfficeForms.Table[[#This Row],[Id]],"")</f>
        <v/>
      </c>
      <c r="B182" s="285" t="str">
        <f>IFERROR([1]!OfficeForms.Table[[#This Row],[Start time]],"")</f>
        <v/>
      </c>
      <c r="C182" t="str">
        <f>IFERROR([1]!OfficeForms.Table[[#This Row],[Session]],"")</f>
        <v/>
      </c>
      <c r="D182" t="str">
        <f>IFERROR([1]!OfficeForms.Table[[#This Row],[Players]],"")</f>
        <v/>
      </c>
    </row>
    <row r="183" spans="1:4" x14ac:dyDescent="0.35">
      <c r="A183" t="str">
        <f>IFERROR([1]!OfficeForms.Table[[#This Row],[Id]],"")</f>
        <v/>
      </c>
      <c r="B183" s="285" t="str">
        <f>IFERROR([1]!OfficeForms.Table[[#This Row],[Start time]],"")</f>
        <v/>
      </c>
      <c r="C183" t="str">
        <f>IFERROR([1]!OfficeForms.Table[[#This Row],[Session]],"")</f>
        <v/>
      </c>
      <c r="D183" t="str">
        <f>IFERROR([1]!OfficeForms.Table[[#This Row],[Players]],"")</f>
        <v/>
      </c>
    </row>
    <row r="184" spans="1:4" x14ac:dyDescent="0.35">
      <c r="A184" t="str">
        <f>IFERROR([1]!OfficeForms.Table[[#This Row],[Id]],"")</f>
        <v/>
      </c>
      <c r="B184" s="285" t="str">
        <f>IFERROR([1]!OfficeForms.Table[[#This Row],[Start time]],"")</f>
        <v/>
      </c>
      <c r="C184" t="str">
        <f>IFERROR([1]!OfficeForms.Table[[#This Row],[Session]],"")</f>
        <v/>
      </c>
      <c r="D184" t="str">
        <f>IFERROR([1]!OfficeForms.Table[[#This Row],[Players]],"")</f>
        <v/>
      </c>
    </row>
    <row r="185" spans="1:4" x14ac:dyDescent="0.35">
      <c r="A185" t="str">
        <f>IFERROR([1]!OfficeForms.Table[[#This Row],[Id]],"")</f>
        <v/>
      </c>
      <c r="B185" s="285" t="str">
        <f>IFERROR([1]!OfficeForms.Table[[#This Row],[Start time]],"")</f>
        <v/>
      </c>
      <c r="C185" t="str">
        <f>IFERROR([1]!OfficeForms.Table[[#This Row],[Session]],"")</f>
        <v/>
      </c>
      <c r="D185" t="str">
        <f>IFERROR([1]!OfficeForms.Table[[#This Row],[Players]],"")</f>
        <v/>
      </c>
    </row>
    <row r="186" spans="1:4" x14ac:dyDescent="0.35">
      <c r="A186" t="str">
        <f>IFERROR([1]!OfficeForms.Table[[#This Row],[Id]],"")</f>
        <v/>
      </c>
      <c r="B186" s="285" t="str">
        <f>IFERROR([1]!OfficeForms.Table[[#This Row],[Start time]],"")</f>
        <v/>
      </c>
      <c r="C186" t="str">
        <f>IFERROR([1]!OfficeForms.Table[[#This Row],[Session]],"")</f>
        <v/>
      </c>
      <c r="D186" t="str">
        <f>IFERROR([1]!OfficeForms.Table[[#This Row],[Players]],"")</f>
        <v/>
      </c>
    </row>
    <row r="187" spans="1:4" x14ac:dyDescent="0.35">
      <c r="A187" t="str">
        <f>IFERROR([1]!OfficeForms.Table[[#This Row],[Id]],"")</f>
        <v/>
      </c>
      <c r="B187" s="285" t="str">
        <f>IFERROR([1]!OfficeForms.Table[[#This Row],[Start time]],"")</f>
        <v/>
      </c>
      <c r="C187" t="str">
        <f>IFERROR([1]!OfficeForms.Table[[#This Row],[Session]],"")</f>
        <v/>
      </c>
      <c r="D187" t="str">
        <f>IFERROR([1]!OfficeForms.Table[[#This Row],[Players]],"")</f>
        <v/>
      </c>
    </row>
    <row r="188" spans="1:4" x14ac:dyDescent="0.35">
      <c r="A188" t="str">
        <f>IFERROR([1]!OfficeForms.Table[[#This Row],[Id]],"")</f>
        <v/>
      </c>
      <c r="B188" s="285" t="str">
        <f>IFERROR([1]!OfficeForms.Table[[#This Row],[Start time]],"")</f>
        <v/>
      </c>
      <c r="C188" t="str">
        <f>IFERROR([1]!OfficeForms.Table[[#This Row],[Session]],"")</f>
        <v/>
      </c>
      <c r="D188" t="str">
        <f>IFERROR([1]!OfficeForms.Table[[#This Row],[Players]],"")</f>
        <v/>
      </c>
    </row>
    <row r="189" spans="1:4" x14ac:dyDescent="0.35">
      <c r="A189" t="str">
        <f>IFERROR([1]!OfficeForms.Table[[#This Row],[Id]],"")</f>
        <v/>
      </c>
      <c r="B189" s="285" t="str">
        <f>IFERROR([1]!OfficeForms.Table[[#This Row],[Start time]],"")</f>
        <v/>
      </c>
      <c r="C189" t="str">
        <f>IFERROR([1]!OfficeForms.Table[[#This Row],[Session]],"")</f>
        <v/>
      </c>
      <c r="D189" t="str">
        <f>IFERROR([1]!OfficeForms.Table[[#This Row],[Players]],"")</f>
        <v/>
      </c>
    </row>
    <row r="190" spans="1:4" x14ac:dyDescent="0.35">
      <c r="A190" t="str">
        <f>IFERROR([1]!OfficeForms.Table[[#This Row],[Id]],"")</f>
        <v/>
      </c>
      <c r="B190" s="285" t="str">
        <f>IFERROR([1]!OfficeForms.Table[[#This Row],[Start time]],"")</f>
        <v/>
      </c>
      <c r="C190" t="str">
        <f>IFERROR([1]!OfficeForms.Table[[#This Row],[Session]],"")</f>
        <v/>
      </c>
      <c r="D190" t="str">
        <f>IFERROR([1]!OfficeForms.Table[[#This Row],[Players]],"")</f>
        <v/>
      </c>
    </row>
    <row r="191" spans="1:4" x14ac:dyDescent="0.35">
      <c r="A191" t="str">
        <f>IFERROR([1]!OfficeForms.Table[[#This Row],[Id]],"")</f>
        <v/>
      </c>
      <c r="B191" s="285" t="str">
        <f>IFERROR([1]!OfficeForms.Table[[#This Row],[Start time]],"")</f>
        <v/>
      </c>
      <c r="C191" t="str">
        <f>IFERROR([1]!OfficeForms.Table[[#This Row],[Session]],"")</f>
        <v/>
      </c>
      <c r="D191" t="str">
        <f>IFERROR([1]!OfficeForms.Table[[#This Row],[Players]],"")</f>
        <v/>
      </c>
    </row>
    <row r="192" spans="1:4" x14ac:dyDescent="0.35">
      <c r="A192" t="str">
        <f>IFERROR([1]!OfficeForms.Table[[#This Row],[Id]],"")</f>
        <v/>
      </c>
      <c r="B192" s="285" t="str">
        <f>IFERROR([1]!OfficeForms.Table[[#This Row],[Start time]],"")</f>
        <v/>
      </c>
      <c r="C192" t="str">
        <f>IFERROR([1]!OfficeForms.Table[[#This Row],[Session]],"")</f>
        <v/>
      </c>
      <c r="D192" t="str">
        <f>IFERROR([1]!OfficeForms.Table[[#This Row],[Players]],"")</f>
        <v/>
      </c>
    </row>
    <row r="193" spans="1:4" x14ac:dyDescent="0.35">
      <c r="A193" t="str">
        <f>IFERROR([1]!OfficeForms.Table[[#This Row],[Id]],"")</f>
        <v/>
      </c>
      <c r="B193" s="285" t="str">
        <f>IFERROR([1]!OfficeForms.Table[[#This Row],[Start time]],"")</f>
        <v/>
      </c>
      <c r="C193" t="str">
        <f>IFERROR([1]!OfficeForms.Table[[#This Row],[Session]],"")</f>
        <v/>
      </c>
      <c r="D193" t="str">
        <f>IFERROR([1]!OfficeForms.Table[[#This Row],[Players]],"")</f>
        <v/>
      </c>
    </row>
    <row r="194" spans="1:4" x14ac:dyDescent="0.35">
      <c r="A194" t="str">
        <f>IFERROR([1]!OfficeForms.Table[[#This Row],[Id]],"")</f>
        <v/>
      </c>
      <c r="B194" s="285" t="str">
        <f>IFERROR([1]!OfficeForms.Table[[#This Row],[Start time]],"")</f>
        <v/>
      </c>
      <c r="C194" t="str">
        <f>IFERROR([1]!OfficeForms.Table[[#This Row],[Session]],"")</f>
        <v/>
      </c>
      <c r="D194" t="str">
        <f>IFERROR([1]!OfficeForms.Table[[#This Row],[Players]],"")</f>
        <v/>
      </c>
    </row>
    <row r="195" spans="1:4" x14ac:dyDescent="0.35">
      <c r="A195" t="str">
        <f>IFERROR([1]!OfficeForms.Table[[#This Row],[Id]],"")</f>
        <v/>
      </c>
      <c r="B195" s="285" t="str">
        <f>IFERROR([1]!OfficeForms.Table[[#This Row],[Start time]],"")</f>
        <v/>
      </c>
      <c r="C195" t="str">
        <f>IFERROR([1]!OfficeForms.Table[[#This Row],[Session]],"")</f>
        <v/>
      </c>
      <c r="D195" t="str">
        <f>IFERROR([1]!OfficeForms.Table[[#This Row],[Players]],"")</f>
        <v/>
      </c>
    </row>
    <row r="196" spans="1:4" x14ac:dyDescent="0.35">
      <c r="A196" t="str">
        <f>IFERROR([1]!OfficeForms.Table[[#This Row],[Id]],"")</f>
        <v/>
      </c>
      <c r="B196" s="285" t="str">
        <f>IFERROR([1]!OfficeForms.Table[[#This Row],[Start time]],"")</f>
        <v/>
      </c>
      <c r="C196" t="str">
        <f>IFERROR([1]!OfficeForms.Table[[#This Row],[Session]],"")</f>
        <v/>
      </c>
      <c r="D196" t="str">
        <f>IFERROR([1]!OfficeForms.Table[[#This Row],[Players]],"")</f>
        <v/>
      </c>
    </row>
    <row r="197" spans="1:4" x14ac:dyDescent="0.35">
      <c r="A197" t="str">
        <f>IFERROR([1]!OfficeForms.Table[[#This Row],[Id]],"")</f>
        <v/>
      </c>
      <c r="B197" s="285" t="str">
        <f>IFERROR([1]!OfficeForms.Table[[#This Row],[Start time]],"")</f>
        <v/>
      </c>
      <c r="C197" t="str">
        <f>IFERROR([1]!OfficeForms.Table[[#This Row],[Session]],"")</f>
        <v/>
      </c>
      <c r="D197" t="str">
        <f>IFERROR([1]!OfficeForms.Table[[#This Row],[Players]],"")</f>
        <v/>
      </c>
    </row>
    <row r="198" spans="1:4" x14ac:dyDescent="0.35">
      <c r="A198" t="str">
        <f>IFERROR([1]!OfficeForms.Table[[#This Row],[Id]],"")</f>
        <v/>
      </c>
      <c r="B198" s="285" t="str">
        <f>IFERROR([1]!OfficeForms.Table[[#This Row],[Start time]],"")</f>
        <v/>
      </c>
      <c r="C198" t="str">
        <f>IFERROR([1]!OfficeForms.Table[[#This Row],[Session]],"")</f>
        <v/>
      </c>
      <c r="D198" t="str">
        <f>IFERROR([1]!OfficeForms.Table[[#This Row],[Players]],"")</f>
        <v/>
      </c>
    </row>
    <row r="199" spans="1:4" x14ac:dyDescent="0.35">
      <c r="A199" t="str">
        <f>IFERROR([1]!OfficeForms.Table[[#This Row],[Id]],"")</f>
        <v/>
      </c>
      <c r="B199" s="285" t="str">
        <f>IFERROR([1]!OfficeForms.Table[[#This Row],[Start time]],"")</f>
        <v/>
      </c>
      <c r="C199" t="str">
        <f>IFERROR([1]!OfficeForms.Table[[#This Row],[Session]],"")</f>
        <v/>
      </c>
      <c r="D199" t="str">
        <f>IFERROR([1]!OfficeForms.Table[[#This Row],[Players]],"")</f>
        <v/>
      </c>
    </row>
    <row r="200" spans="1:4" x14ac:dyDescent="0.35">
      <c r="A200" t="str">
        <f>IFERROR([1]!OfficeForms.Table[[#This Row],[Id]],"")</f>
        <v/>
      </c>
      <c r="B200" s="285" t="str">
        <f>IFERROR([1]!OfficeForms.Table[[#This Row],[Start time]],"")</f>
        <v/>
      </c>
      <c r="C200" t="str">
        <f>IFERROR([1]!OfficeForms.Table[[#This Row],[Session]],"")</f>
        <v/>
      </c>
      <c r="D200" t="str">
        <f>IFERROR([1]!OfficeForms.Table[[#This Row],[Players]],"")</f>
        <v/>
      </c>
    </row>
    <row r="201" spans="1:4" x14ac:dyDescent="0.35">
      <c r="A201" t="str">
        <f>IFERROR([1]!OfficeForms.Table[[#This Row],[Id]],"")</f>
        <v/>
      </c>
      <c r="B201" s="285" t="str">
        <f>IFERROR([1]!OfficeForms.Table[[#This Row],[Start time]],"")</f>
        <v/>
      </c>
      <c r="C201" t="str">
        <f>IFERROR([1]!OfficeForms.Table[[#This Row],[Session]],"")</f>
        <v/>
      </c>
      <c r="D201" t="str">
        <f>IFERROR([1]!OfficeForms.Table[[#This Row],[Players]],"")</f>
        <v/>
      </c>
    </row>
    <row r="202" spans="1:4" x14ac:dyDescent="0.35">
      <c r="A202" t="str">
        <f>IFERROR([1]!OfficeForms.Table[[#This Row],[Id]],"")</f>
        <v/>
      </c>
      <c r="B202" s="285" t="str">
        <f>IFERROR([1]!OfficeForms.Table[[#This Row],[Start time]],"")</f>
        <v/>
      </c>
      <c r="C202" t="str">
        <f>IFERROR([1]!OfficeForms.Table[[#This Row],[Session]],"")</f>
        <v/>
      </c>
      <c r="D202" t="str">
        <f>IFERROR([1]!OfficeForms.Table[[#This Row],[Players]],"")</f>
        <v/>
      </c>
    </row>
    <row r="203" spans="1:4" x14ac:dyDescent="0.35">
      <c r="A203" t="str">
        <f>IFERROR([1]!OfficeForms.Table[[#This Row],[Id]],"")</f>
        <v/>
      </c>
      <c r="B203" s="285" t="str">
        <f>IFERROR([1]!OfficeForms.Table[[#This Row],[Start time]],"")</f>
        <v/>
      </c>
      <c r="C203" t="str">
        <f>IFERROR([1]!OfficeForms.Table[[#This Row],[Session]],"")</f>
        <v/>
      </c>
      <c r="D203" t="str">
        <f>IFERROR([1]!OfficeForms.Table[[#This Row],[Players]],"")</f>
        <v/>
      </c>
    </row>
    <row r="204" spans="1:4" x14ac:dyDescent="0.35">
      <c r="A204" t="str">
        <f>IFERROR([1]!OfficeForms.Table[[#This Row],[Id]],"")</f>
        <v/>
      </c>
      <c r="B204" s="285" t="str">
        <f>IFERROR([1]!OfficeForms.Table[[#This Row],[Start time]],"")</f>
        <v/>
      </c>
      <c r="C204" t="str">
        <f>IFERROR([1]!OfficeForms.Table[[#This Row],[Session]],"")</f>
        <v/>
      </c>
      <c r="D204" t="str">
        <f>IFERROR([1]!OfficeForms.Table[[#This Row],[Players]],"")</f>
        <v/>
      </c>
    </row>
    <row r="205" spans="1:4" x14ac:dyDescent="0.35">
      <c r="A205" t="str">
        <f>IFERROR([1]!OfficeForms.Table[[#This Row],[Id]],"")</f>
        <v/>
      </c>
      <c r="B205" s="285" t="str">
        <f>IFERROR([1]!OfficeForms.Table[[#This Row],[Start time]],"")</f>
        <v/>
      </c>
      <c r="C205" t="str">
        <f>IFERROR([1]!OfficeForms.Table[[#This Row],[Session]],"")</f>
        <v/>
      </c>
      <c r="D205" t="str">
        <f>IFERROR([1]!OfficeForms.Table[[#This Row],[Players]],"")</f>
        <v/>
      </c>
    </row>
    <row r="206" spans="1:4" x14ac:dyDescent="0.35">
      <c r="A206" t="str">
        <f>IFERROR([1]!OfficeForms.Table[[#This Row],[Id]],"")</f>
        <v/>
      </c>
      <c r="B206" s="285" t="str">
        <f>IFERROR([1]!OfficeForms.Table[[#This Row],[Start time]],"")</f>
        <v/>
      </c>
      <c r="C206" t="str">
        <f>IFERROR([1]!OfficeForms.Table[[#This Row],[Session]],"")</f>
        <v/>
      </c>
      <c r="D206" t="str">
        <f>IFERROR([1]!OfficeForms.Table[[#This Row],[Players]],"")</f>
        <v/>
      </c>
    </row>
    <row r="207" spans="1:4" x14ac:dyDescent="0.35">
      <c r="A207" t="str">
        <f>IFERROR([1]!OfficeForms.Table[[#This Row],[Id]],"")</f>
        <v/>
      </c>
      <c r="B207" s="285" t="str">
        <f>IFERROR([1]!OfficeForms.Table[[#This Row],[Start time]],"")</f>
        <v/>
      </c>
      <c r="C207" t="str">
        <f>IFERROR([1]!OfficeForms.Table[[#This Row],[Session]],"")</f>
        <v/>
      </c>
      <c r="D207" t="str">
        <f>IFERROR([1]!OfficeForms.Table[[#This Row],[Players]],"")</f>
        <v/>
      </c>
    </row>
    <row r="208" spans="1:4" x14ac:dyDescent="0.35">
      <c r="A208" t="str">
        <f>IFERROR([1]!OfficeForms.Table[[#This Row],[Id]],"")</f>
        <v/>
      </c>
      <c r="B208" s="285" t="str">
        <f>IFERROR([1]!OfficeForms.Table[[#This Row],[Start time]],"")</f>
        <v/>
      </c>
      <c r="C208" t="str">
        <f>IFERROR([1]!OfficeForms.Table[[#This Row],[Session]],"")</f>
        <v/>
      </c>
      <c r="D208" t="str">
        <f>IFERROR([1]!OfficeForms.Table[[#This Row],[Players]],"")</f>
        <v/>
      </c>
    </row>
    <row r="209" spans="1:4" x14ac:dyDescent="0.35">
      <c r="A209" t="str">
        <f>IFERROR([1]!OfficeForms.Table[[#This Row],[Id]],"")</f>
        <v/>
      </c>
      <c r="B209" s="285" t="str">
        <f>IFERROR([1]!OfficeForms.Table[[#This Row],[Start time]],"")</f>
        <v/>
      </c>
      <c r="C209" t="str">
        <f>IFERROR([1]!OfficeForms.Table[[#This Row],[Session]],"")</f>
        <v/>
      </c>
      <c r="D209" t="str">
        <f>IFERROR([1]!OfficeForms.Table[[#This Row],[Players]],"")</f>
        <v/>
      </c>
    </row>
    <row r="210" spans="1:4" x14ac:dyDescent="0.35">
      <c r="A210" t="str">
        <f>IFERROR([1]!OfficeForms.Table[[#This Row],[Id]],"")</f>
        <v/>
      </c>
      <c r="B210" s="285" t="str">
        <f>IFERROR([1]!OfficeForms.Table[[#This Row],[Start time]],"")</f>
        <v/>
      </c>
      <c r="C210" t="str">
        <f>IFERROR([1]!OfficeForms.Table[[#This Row],[Session]],"")</f>
        <v/>
      </c>
      <c r="D210" t="str">
        <f>IFERROR([1]!OfficeForms.Table[[#This Row],[Players]],"")</f>
        <v/>
      </c>
    </row>
    <row r="211" spans="1:4" x14ac:dyDescent="0.35">
      <c r="A211" t="str">
        <f>IFERROR([1]!OfficeForms.Table[[#This Row],[Id]],"")</f>
        <v/>
      </c>
      <c r="B211" s="285" t="str">
        <f>IFERROR([1]!OfficeForms.Table[[#This Row],[Start time]],"")</f>
        <v/>
      </c>
      <c r="C211" t="str">
        <f>IFERROR([1]!OfficeForms.Table[[#This Row],[Session]],"")</f>
        <v/>
      </c>
      <c r="D211" t="str">
        <f>IFERROR([1]!OfficeForms.Table[[#This Row],[Players]],"")</f>
        <v/>
      </c>
    </row>
    <row r="212" spans="1:4" x14ac:dyDescent="0.35">
      <c r="A212" t="str">
        <f>IFERROR([1]!OfficeForms.Table[[#This Row],[Id]],"")</f>
        <v/>
      </c>
      <c r="B212" s="285" t="str">
        <f>IFERROR([1]!OfficeForms.Table[[#This Row],[Start time]],"")</f>
        <v/>
      </c>
      <c r="C212" t="str">
        <f>IFERROR([1]!OfficeForms.Table[[#This Row],[Session]],"")</f>
        <v/>
      </c>
      <c r="D212" t="str">
        <f>IFERROR([1]!OfficeForms.Table[[#This Row],[Players]],"")</f>
        <v/>
      </c>
    </row>
    <row r="213" spans="1:4" x14ac:dyDescent="0.35">
      <c r="A213" t="str">
        <f>IFERROR([1]!OfficeForms.Table[[#This Row],[Id]],"")</f>
        <v/>
      </c>
      <c r="B213" s="285" t="str">
        <f>IFERROR([1]!OfficeForms.Table[[#This Row],[Start time]],"")</f>
        <v/>
      </c>
      <c r="C213" t="str">
        <f>IFERROR([1]!OfficeForms.Table[[#This Row],[Session]],"")</f>
        <v/>
      </c>
      <c r="D213" t="str">
        <f>IFERROR([1]!OfficeForms.Table[[#This Row],[Players]],"")</f>
        <v/>
      </c>
    </row>
    <row r="214" spans="1:4" x14ac:dyDescent="0.35">
      <c r="A214" t="str">
        <f>IFERROR([1]!OfficeForms.Table[[#This Row],[Id]],"")</f>
        <v/>
      </c>
      <c r="B214" s="285" t="str">
        <f>IFERROR([1]!OfficeForms.Table[[#This Row],[Start time]],"")</f>
        <v/>
      </c>
      <c r="C214" t="str">
        <f>IFERROR([1]!OfficeForms.Table[[#This Row],[Session]],"")</f>
        <v/>
      </c>
      <c r="D214" t="str">
        <f>IFERROR([1]!OfficeForms.Table[[#This Row],[Players]],"")</f>
        <v/>
      </c>
    </row>
    <row r="215" spans="1:4" x14ac:dyDescent="0.35">
      <c r="A215" t="str">
        <f>IFERROR([1]!OfficeForms.Table[[#This Row],[Id]],"")</f>
        <v/>
      </c>
      <c r="B215" s="285" t="str">
        <f>IFERROR([1]!OfficeForms.Table[[#This Row],[Start time]],"")</f>
        <v/>
      </c>
      <c r="C215" t="str">
        <f>IFERROR([1]!OfficeForms.Table[[#This Row],[Session]],"")</f>
        <v/>
      </c>
      <c r="D215" t="str">
        <f>IFERROR([1]!OfficeForms.Table[[#This Row],[Players]],"")</f>
        <v/>
      </c>
    </row>
    <row r="216" spans="1:4" x14ac:dyDescent="0.35">
      <c r="A216" t="str">
        <f>IFERROR([1]!OfficeForms.Table[[#This Row],[Id]],"")</f>
        <v/>
      </c>
      <c r="B216" s="285" t="str">
        <f>IFERROR([1]!OfficeForms.Table[[#This Row],[Start time]],"")</f>
        <v/>
      </c>
      <c r="C216" t="str">
        <f>IFERROR([1]!OfficeForms.Table[[#This Row],[Session]],"")</f>
        <v/>
      </c>
      <c r="D216" t="str">
        <f>IFERROR([1]!OfficeForms.Table[[#This Row],[Players]],"")</f>
        <v/>
      </c>
    </row>
    <row r="217" spans="1:4" x14ac:dyDescent="0.35">
      <c r="A217" t="str">
        <f>IFERROR([1]!OfficeForms.Table[[#This Row],[Id]],"")</f>
        <v/>
      </c>
      <c r="B217" s="285" t="str">
        <f>IFERROR([1]!OfficeForms.Table[[#This Row],[Start time]],"")</f>
        <v/>
      </c>
      <c r="C217" t="str">
        <f>IFERROR([1]!OfficeForms.Table[[#This Row],[Session]],"")</f>
        <v/>
      </c>
      <c r="D217" t="str">
        <f>IFERROR([1]!OfficeForms.Table[[#This Row],[Players]],"")</f>
        <v/>
      </c>
    </row>
    <row r="218" spans="1:4" x14ac:dyDescent="0.35">
      <c r="A218" t="str">
        <f>IFERROR([1]!OfficeForms.Table[[#This Row],[Id]],"")</f>
        <v/>
      </c>
      <c r="B218" s="285" t="str">
        <f>IFERROR([1]!OfficeForms.Table[[#This Row],[Start time]],"")</f>
        <v/>
      </c>
      <c r="C218" t="str">
        <f>IFERROR([1]!OfficeForms.Table[[#This Row],[Session]],"")</f>
        <v/>
      </c>
      <c r="D218" t="str">
        <f>IFERROR([1]!OfficeForms.Table[[#This Row],[Players]],"")</f>
        <v/>
      </c>
    </row>
    <row r="219" spans="1:4" x14ac:dyDescent="0.35">
      <c r="A219" t="str">
        <f>IFERROR([1]!OfficeForms.Table[[#This Row],[Id]],"")</f>
        <v/>
      </c>
      <c r="B219" s="285" t="str">
        <f>IFERROR([1]!OfficeForms.Table[[#This Row],[Start time]],"")</f>
        <v/>
      </c>
      <c r="C219" t="str">
        <f>IFERROR([1]!OfficeForms.Table[[#This Row],[Session]],"")</f>
        <v/>
      </c>
      <c r="D219" t="str">
        <f>IFERROR([1]!OfficeForms.Table[[#This Row],[Players]],"")</f>
        <v/>
      </c>
    </row>
    <row r="220" spans="1:4" x14ac:dyDescent="0.35">
      <c r="A220" t="str">
        <f>IFERROR([1]!OfficeForms.Table[[#This Row],[Id]],"")</f>
        <v/>
      </c>
      <c r="B220" s="285" t="str">
        <f>IFERROR([1]!OfficeForms.Table[[#This Row],[Start time]],"")</f>
        <v/>
      </c>
      <c r="C220" t="str">
        <f>IFERROR([1]!OfficeForms.Table[[#This Row],[Session]],"")</f>
        <v/>
      </c>
      <c r="D220" t="str">
        <f>IFERROR([1]!OfficeForms.Table[[#This Row],[Players]],"")</f>
        <v/>
      </c>
    </row>
    <row r="221" spans="1:4" x14ac:dyDescent="0.35">
      <c r="A221" t="str">
        <f>IFERROR([1]!OfficeForms.Table[[#This Row],[Id]],"")</f>
        <v/>
      </c>
      <c r="B221" s="285" t="str">
        <f>IFERROR([1]!OfficeForms.Table[[#This Row],[Start time]],"")</f>
        <v/>
      </c>
      <c r="C221" t="str">
        <f>IFERROR([1]!OfficeForms.Table[[#This Row],[Session]],"")</f>
        <v/>
      </c>
      <c r="D221" t="str">
        <f>IFERROR([1]!OfficeForms.Table[[#This Row],[Players]],"")</f>
        <v/>
      </c>
    </row>
    <row r="222" spans="1:4" x14ac:dyDescent="0.35">
      <c r="A222" t="str">
        <f>IFERROR([1]!OfficeForms.Table[[#This Row],[Id]],"")</f>
        <v/>
      </c>
      <c r="B222" s="285" t="str">
        <f>IFERROR([1]!OfficeForms.Table[[#This Row],[Start time]],"")</f>
        <v/>
      </c>
      <c r="C222" t="str">
        <f>IFERROR([1]!OfficeForms.Table[[#This Row],[Session]],"")</f>
        <v/>
      </c>
      <c r="D222" t="str">
        <f>IFERROR([1]!OfficeForms.Table[[#This Row],[Players]],"")</f>
        <v/>
      </c>
    </row>
    <row r="223" spans="1:4" x14ac:dyDescent="0.35">
      <c r="A223" t="str">
        <f>IFERROR([1]!OfficeForms.Table[[#This Row],[Id]],"")</f>
        <v/>
      </c>
      <c r="B223" s="285" t="str">
        <f>IFERROR([1]!OfficeForms.Table[[#This Row],[Start time]],"")</f>
        <v/>
      </c>
      <c r="C223" t="str">
        <f>IFERROR([1]!OfficeForms.Table[[#This Row],[Session]],"")</f>
        <v/>
      </c>
      <c r="D223" t="str">
        <f>IFERROR([1]!OfficeForms.Table[[#This Row],[Players]],"")</f>
        <v/>
      </c>
    </row>
    <row r="224" spans="1:4" x14ac:dyDescent="0.35">
      <c r="A224" t="str">
        <f>IFERROR([1]!OfficeForms.Table[[#This Row],[Id]],"")</f>
        <v/>
      </c>
      <c r="B224" s="285" t="str">
        <f>IFERROR([1]!OfficeForms.Table[[#This Row],[Start time]],"")</f>
        <v/>
      </c>
      <c r="C224" t="str">
        <f>IFERROR([1]!OfficeForms.Table[[#This Row],[Session]],"")</f>
        <v/>
      </c>
      <c r="D224" t="str">
        <f>IFERROR([1]!OfficeForms.Table[[#This Row],[Players]],"")</f>
        <v/>
      </c>
    </row>
    <row r="225" spans="1:4" x14ac:dyDescent="0.35">
      <c r="A225" t="str">
        <f>IFERROR([1]!OfficeForms.Table[[#This Row],[Id]],"")</f>
        <v/>
      </c>
      <c r="B225" s="285" t="str">
        <f>IFERROR([1]!OfficeForms.Table[[#This Row],[Start time]],"")</f>
        <v/>
      </c>
      <c r="C225" t="str">
        <f>IFERROR([1]!OfficeForms.Table[[#This Row],[Session]],"")</f>
        <v/>
      </c>
      <c r="D225" t="str">
        <f>IFERROR([1]!OfficeForms.Table[[#This Row],[Players]],"")</f>
        <v/>
      </c>
    </row>
    <row r="226" spans="1:4" x14ac:dyDescent="0.35">
      <c r="A226" t="str">
        <f>IFERROR([1]!OfficeForms.Table[[#This Row],[Id]],"")</f>
        <v/>
      </c>
      <c r="B226" s="285" t="str">
        <f>IFERROR([1]!OfficeForms.Table[[#This Row],[Start time]],"")</f>
        <v/>
      </c>
      <c r="C226" t="str">
        <f>IFERROR([1]!OfficeForms.Table[[#This Row],[Session]],"")</f>
        <v/>
      </c>
      <c r="D226" t="str">
        <f>IFERROR([1]!OfficeForms.Table[[#This Row],[Players]],"")</f>
        <v/>
      </c>
    </row>
    <row r="227" spans="1:4" x14ac:dyDescent="0.35">
      <c r="A227" t="str">
        <f>IFERROR([1]!OfficeForms.Table[[#This Row],[Id]],"")</f>
        <v/>
      </c>
      <c r="B227" s="285" t="str">
        <f>IFERROR([1]!OfficeForms.Table[[#This Row],[Start time]],"")</f>
        <v/>
      </c>
      <c r="C227" t="str">
        <f>IFERROR([1]!OfficeForms.Table[[#This Row],[Session]],"")</f>
        <v/>
      </c>
      <c r="D227" t="str">
        <f>IFERROR([1]!OfficeForms.Table[[#This Row],[Players]],"")</f>
        <v/>
      </c>
    </row>
    <row r="228" spans="1:4" x14ac:dyDescent="0.35">
      <c r="A228" t="str">
        <f>IFERROR([1]!OfficeForms.Table[[#This Row],[Id]],"")</f>
        <v/>
      </c>
      <c r="B228" s="285" t="str">
        <f>IFERROR([1]!OfficeForms.Table[[#This Row],[Start time]],"")</f>
        <v/>
      </c>
      <c r="C228" t="str">
        <f>IFERROR([1]!OfficeForms.Table[[#This Row],[Session]],"")</f>
        <v/>
      </c>
      <c r="D228" t="str">
        <f>IFERROR([1]!OfficeForms.Table[[#This Row],[Players]],"")</f>
        <v/>
      </c>
    </row>
    <row r="229" spans="1:4" x14ac:dyDescent="0.35">
      <c r="A229" t="str">
        <f>IFERROR([1]!OfficeForms.Table[[#This Row],[Id]],"")</f>
        <v/>
      </c>
      <c r="B229" s="285" t="str">
        <f>IFERROR([1]!OfficeForms.Table[[#This Row],[Start time]],"")</f>
        <v/>
      </c>
      <c r="C229" t="str">
        <f>IFERROR([1]!OfficeForms.Table[[#This Row],[Session]],"")</f>
        <v/>
      </c>
      <c r="D229" t="str">
        <f>IFERROR([1]!OfficeForms.Table[[#This Row],[Players]],"")</f>
        <v/>
      </c>
    </row>
    <row r="230" spans="1:4" x14ac:dyDescent="0.35">
      <c r="A230" t="str">
        <f>IFERROR([1]!OfficeForms.Table[[#This Row],[Id]],"")</f>
        <v/>
      </c>
      <c r="B230" s="285" t="str">
        <f>IFERROR([1]!OfficeForms.Table[[#This Row],[Start time]],"")</f>
        <v/>
      </c>
      <c r="C230" t="str">
        <f>IFERROR([1]!OfficeForms.Table[[#This Row],[Session]],"")</f>
        <v/>
      </c>
      <c r="D230" t="str">
        <f>IFERROR([1]!OfficeForms.Table[[#This Row],[Players]],"")</f>
        <v/>
      </c>
    </row>
    <row r="231" spans="1:4" x14ac:dyDescent="0.35">
      <c r="A231" t="str">
        <f>IFERROR([1]!OfficeForms.Table[[#This Row],[Id]],"")</f>
        <v/>
      </c>
      <c r="B231" s="285" t="str">
        <f>IFERROR([1]!OfficeForms.Table[[#This Row],[Start time]],"")</f>
        <v/>
      </c>
      <c r="C231" t="str">
        <f>IFERROR([1]!OfficeForms.Table[[#This Row],[Session]],"")</f>
        <v/>
      </c>
      <c r="D231" t="str">
        <f>IFERROR([1]!OfficeForms.Table[[#This Row],[Players]],"")</f>
        <v/>
      </c>
    </row>
    <row r="232" spans="1:4" x14ac:dyDescent="0.35">
      <c r="A232" t="str">
        <f>IFERROR([1]!OfficeForms.Table[[#This Row],[Id]],"")</f>
        <v/>
      </c>
      <c r="B232" s="285" t="str">
        <f>IFERROR([1]!OfficeForms.Table[[#This Row],[Start time]],"")</f>
        <v/>
      </c>
      <c r="C232" t="str">
        <f>IFERROR([1]!OfficeForms.Table[[#This Row],[Session]],"")</f>
        <v/>
      </c>
      <c r="D232" t="str">
        <f>IFERROR([1]!OfficeForms.Table[[#This Row],[Players]],"")</f>
        <v/>
      </c>
    </row>
    <row r="233" spans="1:4" x14ac:dyDescent="0.35">
      <c r="A233" t="str">
        <f>IFERROR([1]!OfficeForms.Table[[#This Row],[Id]],"")</f>
        <v/>
      </c>
      <c r="B233" s="285" t="str">
        <f>IFERROR([1]!OfficeForms.Table[[#This Row],[Start time]],"")</f>
        <v/>
      </c>
      <c r="C233" t="str">
        <f>IFERROR([1]!OfficeForms.Table[[#This Row],[Session]],"")</f>
        <v/>
      </c>
      <c r="D233" t="str">
        <f>IFERROR([1]!OfficeForms.Table[[#This Row],[Players]],"")</f>
        <v/>
      </c>
    </row>
    <row r="234" spans="1:4" x14ac:dyDescent="0.35">
      <c r="A234" t="str">
        <f>IFERROR([1]!OfficeForms.Table[[#This Row],[Id]],"")</f>
        <v/>
      </c>
      <c r="B234" s="285" t="str">
        <f>IFERROR([1]!OfficeForms.Table[[#This Row],[Start time]],"")</f>
        <v/>
      </c>
      <c r="C234" t="str">
        <f>IFERROR([1]!OfficeForms.Table[[#This Row],[Session]],"")</f>
        <v/>
      </c>
      <c r="D234" t="str">
        <f>IFERROR([1]!OfficeForms.Table[[#This Row],[Players]],"")</f>
        <v/>
      </c>
    </row>
    <row r="235" spans="1:4" x14ac:dyDescent="0.35">
      <c r="A235" t="str">
        <f>IFERROR([1]!OfficeForms.Table[[#This Row],[Id]],"")</f>
        <v/>
      </c>
      <c r="B235" s="285" t="str">
        <f>IFERROR([1]!OfficeForms.Table[[#This Row],[Start time]],"")</f>
        <v/>
      </c>
      <c r="C235" t="str">
        <f>IFERROR([1]!OfficeForms.Table[[#This Row],[Session]],"")</f>
        <v/>
      </c>
      <c r="D235" t="str">
        <f>IFERROR([1]!OfficeForms.Table[[#This Row],[Players]],"")</f>
        <v/>
      </c>
    </row>
    <row r="236" spans="1:4" x14ac:dyDescent="0.35">
      <c r="A236" t="str">
        <f>IFERROR([1]!OfficeForms.Table[[#This Row],[Id]],"")</f>
        <v/>
      </c>
      <c r="B236" s="285" t="str">
        <f>IFERROR([1]!OfficeForms.Table[[#This Row],[Start time]],"")</f>
        <v/>
      </c>
      <c r="C236" t="str">
        <f>IFERROR([1]!OfficeForms.Table[[#This Row],[Session]],"")</f>
        <v/>
      </c>
      <c r="D236" t="str">
        <f>IFERROR([1]!OfficeForms.Table[[#This Row],[Players]],"")</f>
        <v/>
      </c>
    </row>
    <row r="237" spans="1:4" x14ac:dyDescent="0.35">
      <c r="A237" t="str">
        <f>IFERROR([1]!OfficeForms.Table[[#This Row],[Id]],"")</f>
        <v/>
      </c>
      <c r="B237" s="285" t="str">
        <f>IFERROR([1]!OfficeForms.Table[[#This Row],[Start time]],"")</f>
        <v/>
      </c>
      <c r="C237" t="str">
        <f>IFERROR([1]!OfficeForms.Table[[#This Row],[Session]],"")</f>
        <v/>
      </c>
      <c r="D237" t="str">
        <f>IFERROR([1]!OfficeForms.Table[[#This Row],[Players]],"")</f>
        <v/>
      </c>
    </row>
    <row r="238" spans="1:4" x14ac:dyDescent="0.35">
      <c r="A238" t="str">
        <f>IFERROR([1]!OfficeForms.Table[[#This Row],[Id]],"")</f>
        <v/>
      </c>
      <c r="B238" s="285" t="str">
        <f>IFERROR([1]!OfficeForms.Table[[#This Row],[Start time]],"")</f>
        <v/>
      </c>
      <c r="C238" t="str">
        <f>IFERROR([1]!OfficeForms.Table[[#This Row],[Session]],"")</f>
        <v/>
      </c>
      <c r="D238" t="str">
        <f>IFERROR([1]!OfficeForms.Table[[#This Row],[Players]],"")</f>
        <v/>
      </c>
    </row>
    <row r="239" spans="1:4" x14ac:dyDescent="0.35">
      <c r="A239" t="str">
        <f>IFERROR([1]!OfficeForms.Table[[#This Row],[Id]],"")</f>
        <v/>
      </c>
      <c r="B239" s="285" t="str">
        <f>IFERROR([1]!OfficeForms.Table[[#This Row],[Start time]],"")</f>
        <v/>
      </c>
      <c r="C239" t="str">
        <f>IFERROR([1]!OfficeForms.Table[[#This Row],[Session]],"")</f>
        <v/>
      </c>
      <c r="D239" t="str">
        <f>IFERROR([1]!OfficeForms.Table[[#This Row],[Players]],"")</f>
        <v/>
      </c>
    </row>
    <row r="240" spans="1:4" x14ac:dyDescent="0.35">
      <c r="A240" t="str">
        <f>IFERROR([1]!OfficeForms.Table[[#This Row],[Id]],"")</f>
        <v/>
      </c>
      <c r="B240" s="285" t="str">
        <f>IFERROR([1]!OfficeForms.Table[[#This Row],[Start time]],"")</f>
        <v/>
      </c>
      <c r="C240" t="str">
        <f>IFERROR([1]!OfficeForms.Table[[#This Row],[Session]],"")</f>
        <v/>
      </c>
      <c r="D240" t="str">
        <f>IFERROR([1]!OfficeForms.Table[[#This Row],[Players]],"")</f>
        <v/>
      </c>
    </row>
    <row r="241" spans="1:4" x14ac:dyDescent="0.35">
      <c r="A241" t="str">
        <f>IFERROR([1]!OfficeForms.Table[[#This Row],[Id]],"")</f>
        <v/>
      </c>
      <c r="B241" s="285" t="str">
        <f>IFERROR([1]!OfficeForms.Table[[#This Row],[Start time]],"")</f>
        <v/>
      </c>
      <c r="C241" t="str">
        <f>IFERROR([1]!OfficeForms.Table[[#This Row],[Session]],"")</f>
        <v/>
      </c>
      <c r="D241" t="str">
        <f>IFERROR([1]!OfficeForms.Table[[#This Row],[Players]],"")</f>
        <v/>
      </c>
    </row>
    <row r="242" spans="1:4" x14ac:dyDescent="0.35">
      <c r="A242" t="str">
        <f>IFERROR([1]!OfficeForms.Table[[#This Row],[Id]],"")</f>
        <v/>
      </c>
      <c r="B242" s="285" t="str">
        <f>IFERROR([1]!OfficeForms.Table[[#This Row],[Start time]],"")</f>
        <v/>
      </c>
      <c r="C242" t="str">
        <f>IFERROR([1]!OfficeForms.Table[[#This Row],[Session]],"")</f>
        <v/>
      </c>
      <c r="D242" t="str">
        <f>IFERROR([1]!OfficeForms.Table[[#This Row],[Players]],"")</f>
        <v/>
      </c>
    </row>
    <row r="243" spans="1:4" x14ac:dyDescent="0.35">
      <c r="A243" t="str">
        <f>IFERROR([1]!OfficeForms.Table[[#This Row],[Id]],"")</f>
        <v/>
      </c>
      <c r="B243" s="285" t="str">
        <f>IFERROR([1]!OfficeForms.Table[[#This Row],[Start time]],"")</f>
        <v/>
      </c>
      <c r="C243" t="str">
        <f>IFERROR([1]!OfficeForms.Table[[#This Row],[Session]],"")</f>
        <v/>
      </c>
      <c r="D243" t="str">
        <f>IFERROR([1]!OfficeForms.Table[[#This Row],[Players]],"")</f>
        <v/>
      </c>
    </row>
    <row r="244" spans="1:4" x14ac:dyDescent="0.35">
      <c r="A244" t="str">
        <f>IFERROR([1]!OfficeForms.Table[[#This Row],[Id]],"")</f>
        <v/>
      </c>
      <c r="B244" s="285" t="str">
        <f>IFERROR([1]!OfficeForms.Table[[#This Row],[Start time]],"")</f>
        <v/>
      </c>
      <c r="C244" t="str">
        <f>IFERROR([1]!OfficeForms.Table[[#This Row],[Session]],"")</f>
        <v/>
      </c>
      <c r="D244" t="str">
        <f>IFERROR([1]!OfficeForms.Table[[#This Row],[Players]],"")</f>
        <v/>
      </c>
    </row>
    <row r="245" spans="1:4" x14ac:dyDescent="0.35">
      <c r="A245" t="str">
        <f>IFERROR([1]!OfficeForms.Table[[#This Row],[Id]],"")</f>
        <v/>
      </c>
      <c r="B245" s="285" t="str">
        <f>IFERROR([1]!OfficeForms.Table[[#This Row],[Start time]],"")</f>
        <v/>
      </c>
      <c r="C245" t="str">
        <f>IFERROR([1]!OfficeForms.Table[[#This Row],[Session]],"")</f>
        <v/>
      </c>
      <c r="D245" t="str">
        <f>IFERROR([1]!OfficeForms.Table[[#This Row],[Players]],"")</f>
        <v/>
      </c>
    </row>
    <row r="246" spans="1:4" x14ac:dyDescent="0.35">
      <c r="A246" t="str">
        <f>IFERROR([1]!OfficeForms.Table[[#This Row],[Id]],"")</f>
        <v/>
      </c>
      <c r="B246" s="285" t="str">
        <f>IFERROR([1]!OfficeForms.Table[[#This Row],[Start time]],"")</f>
        <v/>
      </c>
      <c r="C246" t="str">
        <f>IFERROR([1]!OfficeForms.Table[[#This Row],[Session]],"")</f>
        <v/>
      </c>
      <c r="D246" t="str">
        <f>IFERROR([1]!OfficeForms.Table[[#This Row],[Players]],"")</f>
        <v/>
      </c>
    </row>
    <row r="247" spans="1:4" x14ac:dyDescent="0.35">
      <c r="A247" t="str">
        <f>IFERROR([1]!OfficeForms.Table[[#This Row],[Id]],"")</f>
        <v/>
      </c>
      <c r="B247" s="285" t="str">
        <f>IFERROR([1]!OfficeForms.Table[[#This Row],[Start time]],"")</f>
        <v/>
      </c>
      <c r="C247" t="str">
        <f>IFERROR([1]!OfficeForms.Table[[#This Row],[Session]],"")</f>
        <v/>
      </c>
      <c r="D247" t="str">
        <f>IFERROR([1]!OfficeForms.Table[[#This Row],[Players]],"")</f>
        <v/>
      </c>
    </row>
    <row r="248" spans="1:4" x14ac:dyDescent="0.35">
      <c r="A248" t="str">
        <f>IFERROR([1]!OfficeForms.Table[[#This Row],[Id]],"")</f>
        <v/>
      </c>
      <c r="B248" s="285" t="str">
        <f>IFERROR([1]!OfficeForms.Table[[#This Row],[Start time]],"")</f>
        <v/>
      </c>
      <c r="C248" t="str">
        <f>IFERROR([1]!OfficeForms.Table[[#This Row],[Session]],"")</f>
        <v/>
      </c>
      <c r="D248" t="str">
        <f>IFERROR([1]!OfficeForms.Table[[#This Row],[Players]],"")</f>
        <v/>
      </c>
    </row>
    <row r="249" spans="1:4" x14ac:dyDescent="0.35">
      <c r="A249" t="str">
        <f>IFERROR([1]!OfficeForms.Table[[#This Row],[Id]],"")</f>
        <v/>
      </c>
      <c r="B249" s="285" t="str">
        <f>IFERROR([1]!OfficeForms.Table[[#This Row],[Start time]],"")</f>
        <v/>
      </c>
      <c r="C249" t="str">
        <f>IFERROR([1]!OfficeForms.Table[[#This Row],[Session]],"")</f>
        <v/>
      </c>
      <c r="D249" t="str">
        <f>IFERROR([1]!OfficeForms.Table[[#This Row],[Players]],"")</f>
        <v/>
      </c>
    </row>
    <row r="250" spans="1:4" x14ac:dyDescent="0.35">
      <c r="A250" t="str">
        <f>IFERROR([1]!OfficeForms.Table[[#This Row],[Id]],"")</f>
        <v/>
      </c>
      <c r="B250" s="285" t="str">
        <f>IFERROR([1]!OfficeForms.Table[[#This Row],[Start time]],"")</f>
        <v/>
      </c>
      <c r="C250" t="str">
        <f>IFERROR([1]!OfficeForms.Table[[#This Row],[Session]],"")</f>
        <v/>
      </c>
      <c r="D250" t="str">
        <f>IFERROR([1]!OfficeForms.Table[[#This Row],[Players]],"")</f>
        <v/>
      </c>
    </row>
    <row r="251" spans="1:4" x14ac:dyDescent="0.35">
      <c r="A251" t="str">
        <f>IFERROR([1]!OfficeForms.Table[[#This Row],[Id]],"")</f>
        <v/>
      </c>
      <c r="B251" s="285" t="str">
        <f>IFERROR([1]!OfficeForms.Table[[#This Row],[Start time]],"")</f>
        <v/>
      </c>
      <c r="C251" t="str">
        <f>IFERROR([1]!OfficeForms.Table[[#This Row],[Session]],"")</f>
        <v/>
      </c>
      <c r="D251" t="str">
        <f>IFERROR([1]!OfficeForms.Table[[#This Row],[Players]],"")</f>
        <v/>
      </c>
    </row>
    <row r="252" spans="1:4" x14ac:dyDescent="0.35">
      <c r="A252" t="str">
        <f>IFERROR([1]!OfficeForms.Table[[#This Row],[Id]],"")</f>
        <v/>
      </c>
      <c r="B252" s="285" t="str">
        <f>IFERROR([1]!OfficeForms.Table[[#This Row],[Start time]],"")</f>
        <v/>
      </c>
      <c r="C252" t="str">
        <f>IFERROR([1]!OfficeForms.Table[[#This Row],[Session]],"")</f>
        <v/>
      </c>
      <c r="D252" t="str">
        <f>IFERROR([1]!OfficeForms.Table[[#This Row],[Players]],"")</f>
        <v/>
      </c>
    </row>
    <row r="253" spans="1:4" x14ac:dyDescent="0.35">
      <c r="A253" t="str">
        <f>IFERROR([1]!OfficeForms.Table[[#This Row],[Id]],"")</f>
        <v/>
      </c>
      <c r="B253" s="285" t="str">
        <f>IFERROR([1]!OfficeForms.Table[[#This Row],[Start time]],"")</f>
        <v/>
      </c>
      <c r="C253" t="str">
        <f>IFERROR([1]!OfficeForms.Table[[#This Row],[Session]],"")</f>
        <v/>
      </c>
      <c r="D253" t="str">
        <f>IFERROR([1]!OfficeForms.Table[[#This Row],[Players]],"")</f>
        <v/>
      </c>
    </row>
    <row r="254" spans="1:4" x14ac:dyDescent="0.35">
      <c r="A254" t="str">
        <f>IFERROR([1]!OfficeForms.Table[[#This Row],[Id]],"")</f>
        <v/>
      </c>
      <c r="B254" s="285" t="str">
        <f>IFERROR([1]!OfficeForms.Table[[#This Row],[Start time]],"")</f>
        <v/>
      </c>
      <c r="C254" t="str">
        <f>IFERROR([1]!OfficeForms.Table[[#This Row],[Session]],"")</f>
        <v/>
      </c>
      <c r="D254" t="str">
        <f>IFERROR([1]!OfficeForms.Table[[#This Row],[Players]],"")</f>
        <v/>
      </c>
    </row>
    <row r="255" spans="1:4" x14ac:dyDescent="0.35">
      <c r="A255" t="str">
        <f>IFERROR([1]!OfficeForms.Table[[#This Row],[Id]],"")</f>
        <v/>
      </c>
      <c r="B255" s="285" t="str">
        <f>IFERROR([1]!OfficeForms.Table[[#This Row],[Start time]],"")</f>
        <v/>
      </c>
      <c r="C255" t="str">
        <f>IFERROR([1]!OfficeForms.Table[[#This Row],[Session]],"")</f>
        <v/>
      </c>
      <c r="D255" t="str">
        <f>IFERROR([1]!OfficeForms.Table[[#This Row],[Players]],"")</f>
        <v/>
      </c>
    </row>
    <row r="256" spans="1:4" x14ac:dyDescent="0.35">
      <c r="A256" t="str">
        <f>IFERROR([1]!OfficeForms.Table[[#This Row],[Id]],"")</f>
        <v/>
      </c>
      <c r="B256" s="285" t="str">
        <f>IFERROR([1]!OfficeForms.Table[[#This Row],[Start time]],"")</f>
        <v/>
      </c>
      <c r="C256" t="str">
        <f>IFERROR([1]!OfficeForms.Table[[#This Row],[Session]],"")</f>
        <v/>
      </c>
      <c r="D256" t="str">
        <f>IFERROR([1]!OfficeForms.Table[[#This Row],[Players]],"")</f>
        <v/>
      </c>
    </row>
    <row r="257" spans="1:4" x14ac:dyDescent="0.35">
      <c r="A257" t="str">
        <f>IFERROR([1]!OfficeForms.Table[[#This Row],[Id]],"")</f>
        <v/>
      </c>
      <c r="B257" s="285" t="str">
        <f>IFERROR([1]!OfficeForms.Table[[#This Row],[Start time]],"")</f>
        <v/>
      </c>
      <c r="C257" t="str">
        <f>IFERROR([1]!OfficeForms.Table[[#This Row],[Session]],"")</f>
        <v/>
      </c>
      <c r="D257" t="str">
        <f>IFERROR([1]!OfficeForms.Table[[#This Row],[Players]],"")</f>
        <v/>
      </c>
    </row>
    <row r="258" spans="1:4" x14ac:dyDescent="0.35">
      <c r="A258" t="str">
        <f>IFERROR([1]!OfficeForms.Table[[#This Row],[Id]],"")</f>
        <v/>
      </c>
      <c r="B258" s="285" t="str">
        <f>IFERROR([1]!OfficeForms.Table[[#This Row],[Start time]],"")</f>
        <v/>
      </c>
      <c r="C258" t="str">
        <f>IFERROR([1]!OfficeForms.Table[[#This Row],[Session]],"")</f>
        <v/>
      </c>
      <c r="D258" t="str">
        <f>IFERROR([1]!OfficeForms.Table[[#This Row],[Players]],"")</f>
        <v/>
      </c>
    </row>
    <row r="259" spans="1:4" x14ac:dyDescent="0.35">
      <c r="A259" t="str">
        <f>IFERROR([1]!OfficeForms.Table[[#This Row],[Id]],"")</f>
        <v/>
      </c>
      <c r="B259" s="285" t="str">
        <f>IFERROR([1]!OfficeForms.Table[[#This Row],[Start time]],"")</f>
        <v/>
      </c>
      <c r="C259" t="str">
        <f>IFERROR([1]!OfficeForms.Table[[#This Row],[Session]],"")</f>
        <v/>
      </c>
      <c r="D259" t="str">
        <f>IFERROR([1]!OfficeForms.Table[[#This Row],[Players]],"")</f>
        <v/>
      </c>
    </row>
    <row r="260" spans="1:4" x14ac:dyDescent="0.35">
      <c r="A260" t="str">
        <f>IFERROR([1]!OfficeForms.Table[[#This Row],[Id]],"")</f>
        <v/>
      </c>
      <c r="B260" s="285" t="str">
        <f>IFERROR([1]!OfficeForms.Table[[#This Row],[Start time]],"")</f>
        <v/>
      </c>
      <c r="C260" t="str">
        <f>IFERROR([1]!OfficeForms.Table[[#This Row],[Session]],"")</f>
        <v/>
      </c>
      <c r="D260" t="str">
        <f>IFERROR([1]!OfficeForms.Table[[#This Row],[Players]],"")</f>
        <v/>
      </c>
    </row>
    <row r="261" spans="1:4" x14ac:dyDescent="0.35">
      <c r="A261" t="str">
        <f>IFERROR([1]!OfficeForms.Table[[#This Row],[Id]],"")</f>
        <v/>
      </c>
      <c r="B261" s="285" t="str">
        <f>IFERROR([1]!OfficeForms.Table[[#This Row],[Start time]],"")</f>
        <v/>
      </c>
      <c r="C261" t="str">
        <f>IFERROR([1]!OfficeForms.Table[[#This Row],[Session]],"")</f>
        <v/>
      </c>
      <c r="D261" t="str">
        <f>IFERROR([1]!OfficeForms.Table[[#This Row],[Players]],"")</f>
        <v/>
      </c>
    </row>
    <row r="262" spans="1:4" x14ac:dyDescent="0.35">
      <c r="A262" t="str">
        <f>IFERROR([1]!OfficeForms.Table[[#This Row],[Id]],"")</f>
        <v/>
      </c>
      <c r="B262" s="285" t="str">
        <f>IFERROR([1]!OfficeForms.Table[[#This Row],[Start time]],"")</f>
        <v/>
      </c>
      <c r="C262" t="str">
        <f>IFERROR([1]!OfficeForms.Table[[#This Row],[Session]],"")</f>
        <v/>
      </c>
      <c r="D262" t="str">
        <f>IFERROR([1]!OfficeForms.Table[[#This Row],[Players]],"")</f>
        <v/>
      </c>
    </row>
    <row r="263" spans="1:4" x14ac:dyDescent="0.35">
      <c r="A263" t="str">
        <f>IFERROR([1]!OfficeForms.Table[[#This Row],[Id]],"")</f>
        <v/>
      </c>
      <c r="B263" s="285" t="str">
        <f>IFERROR([1]!OfficeForms.Table[[#This Row],[Start time]],"")</f>
        <v/>
      </c>
      <c r="C263" t="str">
        <f>IFERROR([1]!OfficeForms.Table[[#This Row],[Session]],"")</f>
        <v/>
      </c>
      <c r="D263" t="str">
        <f>IFERROR([1]!OfficeForms.Table[[#This Row],[Players]],"")</f>
        <v/>
      </c>
    </row>
    <row r="264" spans="1:4" x14ac:dyDescent="0.35">
      <c r="A264" t="str">
        <f>IFERROR([1]!OfficeForms.Table[[#This Row],[Id]],"")</f>
        <v/>
      </c>
      <c r="B264" s="285" t="str">
        <f>IFERROR([1]!OfficeForms.Table[[#This Row],[Start time]],"")</f>
        <v/>
      </c>
      <c r="C264" t="str">
        <f>IFERROR([1]!OfficeForms.Table[[#This Row],[Session]],"")</f>
        <v/>
      </c>
      <c r="D264" t="str">
        <f>IFERROR([1]!OfficeForms.Table[[#This Row],[Players]],"")</f>
        <v/>
      </c>
    </row>
    <row r="265" spans="1:4" x14ac:dyDescent="0.35">
      <c r="A265" t="str">
        <f>IFERROR([1]!OfficeForms.Table[[#This Row],[Id]],"")</f>
        <v/>
      </c>
      <c r="B265" s="285" t="str">
        <f>IFERROR([1]!OfficeForms.Table[[#This Row],[Start time]],"")</f>
        <v/>
      </c>
      <c r="C265" t="str">
        <f>IFERROR([1]!OfficeForms.Table[[#This Row],[Session]],"")</f>
        <v/>
      </c>
      <c r="D265" t="str">
        <f>IFERROR([1]!OfficeForms.Table[[#This Row],[Players]],"")</f>
        <v/>
      </c>
    </row>
    <row r="266" spans="1:4" x14ac:dyDescent="0.35">
      <c r="A266" t="str">
        <f>IFERROR([1]!OfficeForms.Table[[#This Row],[Id]],"")</f>
        <v/>
      </c>
      <c r="B266" s="285" t="str">
        <f>IFERROR([1]!OfficeForms.Table[[#This Row],[Start time]],"")</f>
        <v/>
      </c>
      <c r="C266" t="str">
        <f>IFERROR([1]!OfficeForms.Table[[#This Row],[Session]],"")</f>
        <v/>
      </c>
      <c r="D266" t="str">
        <f>IFERROR([1]!OfficeForms.Table[[#This Row],[Players]],"")</f>
        <v/>
      </c>
    </row>
    <row r="267" spans="1:4" x14ac:dyDescent="0.35">
      <c r="A267" t="str">
        <f>IFERROR([1]!OfficeForms.Table[[#This Row],[Id]],"")</f>
        <v/>
      </c>
      <c r="B267" s="285" t="str">
        <f>IFERROR([1]!OfficeForms.Table[[#This Row],[Start time]],"")</f>
        <v/>
      </c>
      <c r="C267" t="str">
        <f>IFERROR([1]!OfficeForms.Table[[#This Row],[Session]],"")</f>
        <v/>
      </c>
      <c r="D267" t="str">
        <f>IFERROR([1]!OfficeForms.Table[[#This Row],[Players]],"")</f>
        <v/>
      </c>
    </row>
    <row r="268" spans="1:4" x14ac:dyDescent="0.35">
      <c r="A268" t="str">
        <f>IFERROR([1]!OfficeForms.Table[[#This Row],[Id]],"")</f>
        <v/>
      </c>
      <c r="B268" s="285" t="str">
        <f>IFERROR([1]!OfficeForms.Table[[#This Row],[Start time]],"")</f>
        <v/>
      </c>
      <c r="C268" t="str">
        <f>IFERROR([1]!OfficeForms.Table[[#This Row],[Session]],"")</f>
        <v/>
      </c>
      <c r="D268" t="str">
        <f>IFERROR([1]!OfficeForms.Table[[#This Row],[Players]],"")</f>
        <v/>
      </c>
    </row>
    <row r="269" spans="1:4" x14ac:dyDescent="0.35">
      <c r="A269" t="str">
        <f>IFERROR([1]!OfficeForms.Table[[#This Row],[Id]],"")</f>
        <v/>
      </c>
      <c r="B269" s="285" t="str">
        <f>IFERROR([1]!OfficeForms.Table[[#This Row],[Start time]],"")</f>
        <v/>
      </c>
      <c r="C269" t="str">
        <f>IFERROR([1]!OfficeForms.Table[[#This Row],[Session]],"")</f>
        <v/>
      </c>
      <c r="D269" t="str">
        <f>IFERROR([1]!OfficeForms.Table[[#This Row],[Players]],"")</f>
        <v/>
      </c>
    </row>
    <row r="270" spans="1:4" x14ac:dyDescent="0.35">
      <c r="A270" t="str">
        <f>IFERROR([1]!OfficeForms.Table[[#This Row],[Id]],"")</f>
        <v/>
      </c>
      <c r="B270" s="285" t="str">
        <f>IFERROR([1]!OfficeForms.Table[[#This Row],[Start time]],"")</f>
        <v/>
      </c>
      <c r="C270" t="str">
        <f>IFERROR([1]!OfficeForms.Table[[#This Row],[Session]],"")</f>
        <v/>
      </c>
      <c r="D270" t="str">
        <f>IFERROR([1]!OfficeForms.Table[[#This Row],[Players]],"")</f>
        <v/>
      </c>
    </row>
    <row r="271" spans="1:4" x14ac:dyDescent="0.35">
      <c r="A271" t="str">
        <f>IFERROR([1]!OfficeForms.Table[[#This Row],[Id]],"")</f>
        <v/>
      </c>
      <c r="B271" s="285" t="str">
        <f>IFERROR([1]!OfficeForms.Table[[#This Row],[Start time]],"")</f>
        <v/>
      </c>
      <c r="C271" t="str">
        <f>IFERROR([1]!OfficeForms.Table[[#This Row],[Session]],"")</f>
        <v/>
      </c>
      <c r="D271" t="str">
        <f>IFERROR([1]!OfficeForms.Table[[#This Row],[Players]],"")</f>
        <v/>
      </c>
    </row>
    <row r="272" spans="1:4" x14ac:dyDescent="0.35">
      <c r="A272" t="str">
        <f>IFERROR([1]!OfficeForms.Table[[#This Row],[Id]],"")</f>
        <v/>
      </c>
      <c r="B272" s="285" t="str">
        <f>IFERROR([1]!OfficeForms.Table[[#This Row],[Start time]],"")</f>
        <v/>
      </c>
      <c r="C272" t="str">
        <f>IFERROR([1]!OfficeForms.Table[[#This Row],[Session]],"")</f>
        <v/>
      </c>
      <c r="D272" t="str">
        <f>IFERROR([1]!OfficeForms.Table[[#This Row],[Players]],"")</f>
        <v/>
      </c>
    </row>
    <row r="273" spans="1:4" x14ac:dyDescent="0.35">
      <c r="A273" t="str">
        <f>IFERROR([1]!OfficeForms.Table[[#This Row],[Id]],"")</f>
        <v/>
      </c>
      <c r="B273" s="285" t="str">
        <f>IFERROR([1]!OfficeForms.Table[[#This Row],[Start time]],"")</f>
        <v/>
      </c>
      <c r="C273" t="str">
        <f>IFERROR([1]!OfficeForms.Table[[#This Row],[Session]],"")</f>
        <v/>
      </c>
      <c r="D273" t="str">
        <f>IFERROR([1]!OfficeForms.Table[[#This Row],[Players]],"")</f>
        <v/>
      </c>
    </row>
    <row r="274" spans="1:4" x14ac:dyDescent="0.35">
      <c r="A274" t="str">
        <f>IFERROR([1]!OfficeForms.Table[[#This Row],[Id]],"")</f>
        <v/>
      </c>
      <c r="B274" s="285" t="str">
        <f>IFERROR([1]!OfficeForms.Table[[#This Row],[Start time]],"")</f>
        <v/>
      </c>
      <c r="C274" t="str">
        <f>IFERROR([1]!OfficeForms.Table[[#This Row],[Session]],"")</f>
        <v/>
      </c>
      <c r="D274" t="str">
        <f>IFERROR([1]!OfficeForms.Table[[#This Row],[Players]],"")</f>
        <v/>
      </c>
    </row>
    <row r="275" spans="1:4" x14ac:dyDescent="0.35">
      <c r="A275" t="str">
        <f>IFERROR([1]!OfficeForms.Table[[#This Row],[Id]],"")</f>
        <v/>
      </c>
      <c r="B275" s="285" t="str">
        <f>IFERROR([1]!OfficeForms.Table[[#This Row],[Start time]],"")</f>
        <v/>
      </c>
      <c r="C275" t="str">
        <f>IFERROR([1]!OfficeForms.Table[[#This Row],[Session]],"")</f>
        <v/>
      </c>
      <c r="D275" t="str">
        <f>IFERROR([1]!OfficeForms.Table[[#This Row],[Players]],"")</f>
        <v/>
      </c>
    </row>
    <row r="276" spans="1:4" x14ac:dyDescent="0.35">
      <c r="A276" t="str">
        <f>IFERROR([1]!OfficeForms.Table[[#This Row],[Id]],"")</f>
        <v/>
      </c>
      <c r="B276" s="285" t="str">
        <f>IFERROR([1]!OfficeForms.Table[[#This Row],[Start time]],"")</f>
        <v/>
      </c>
      <c r="C276" t="str">
        <f>IFERROR([1]!OfficeForms.Table[[#This Row],[Session]],"")</f>
        <v/>
      </c>
      <c r="D276" t="str">
        <f>IFERROR([1]!OfficeForms.Table[[#This Row],[Players]],"")</f>
        <v/>
      </c>
    </row>
    <row r="277" spans="1:4" x14ac:dyDescent="0.35">
      <c r="A277" t="str">
        <f>IFERROR([1]!OfficeForms.Table[[#This Row],[Id]],"")</f>
        <v/>
      </c>
      <c r="B277" s="285" t="str">
        <f>IFERROR([1]!OfficeForms.Table[[#This Row],[Start time]],"")</f>
        <v/>
      </c>
      <c r="C277" t="str">
        <f>IFERROR([1]!OfficeForms.Table[[#This Row],[Session]],"")</f>
        <v/>
      </c>
      <c r="D277" t="str">
        <f>IFERROR([1]!OfficeForms.Table[[#This Row],[Players]],"")</f>
        <v/>
      </c>
    </row>
    <row r="278" spans="1:4" x14ac:dyDescent="0.35">
      <c r="A278" t="str">
        <f>IFERROR([1]!OfficeForms.Table[[#This Row],[Id]],"")</f>
        <v/>
      </c>
      <c r="B278" s="285" t="str">
        <f>IFERROR([1]!OfficeForms.Table[[#This Row],[Start time]],"")</f>
        <v/>
      </c>
      <c r="C278" t="str">
        <f>IFERROR([1]!OfficeForms.Table[[#This Row],[Session]],"")</f>
        <v/>
      </c>
      <c r="D278" t="str">
        <f>IFERROR([1]!OfficeForms.Table[[#This Row],[Players]],"")</f>
        <v/>
      </c>
    </row>
    <row r="279" spans="1:4" x14ac:dyDescent="0.35">
      <c r="A279" t="str">
        <f>IFERROR([1]!OfficeForms.Table[[#This Row],[Id]],"")</f>
        <v/>
      </c>
      <c r="B279" s="285" t="str">
        <f>IFERROR([1]!OfficeForms.Table[[#This Row],[Start time]],"")</f>
        <v/>
      </c>
      <c r="C279" t="str">
        <f>IFERROR([1]!OfficeForms.Table[[#This Row],[Session]],"")</f>
        <v/>
      </c>
      <c r="D279" t="str">
        <f>IFERROR([1]!OfficeForms.Table[[#This Row],[Players]],"")</f>
        <v/>
      </c>
    </row>
    <row r="280" spans="1:4" x14ac:dyDescent="0.35">
      <c r="A280" t="str">
        <f>IFERROR([1]!OfficeForms.Table[[#This Row],[Id]],"")</f>
        <v/>
      </c>
      <c r="B280" s="285" t="str">
        <f>IFERROR([1]!OfficeForms.Table[[#This Row],[Start time]],"")</f>
        <v/>
      </c>
      <c r="C280" t="str">
        <f>IFERROR([1]!OfficeForms.Table[[#This Row],[Session]],"")</f>
        <v/>
      </c>
      <c r="D280" t="str">
        <f>IFERROR([1]!OfficeForms.Table[[#This Row],[Players]],"")</f>
        <v/>
      </c>
    </row>
    <row r="281" spans="1:4" x14ac:dyDescent="0.35">
      <c r="A281" t="str">
        <f>IFERROR([1]!OfficeForms.Table[[#This Row],[Id]],"")</f>
        <v/>
      </c>
      <c r="B281" s="285" t="str">
        <f>IFERROR([1]!OfficeForms.Table[[#This Row],[Start time]],"")</f>
        <v/>
      </c>
      <c r="C281" t="str">
        <f>IFERROR([1]!OfficeForms.Table[[#This Row],[Session]],"")</f>
        <v/>
      </c>
      <c r="D281" t="str">
        <f>IFERROR([1]!OfficeForms.Table[[#This Row],[Players]],"")</f>
        <v/>
      </c>
    </row>
    <row r="282" spans="1:4" x14ac:dyDescent="0.35">
      <c r="A282" t="str">
        <f>IFERROR([1]!OfficeForms.Table[[#This Row],[Id]],"")</f>
        <v/>
      </c>
      <c r="B282" s="285" t="str">
        <f>IFERROR([1]!OfficeForms.Table[[#This Row],[Start time]],"")</f>
        <v/>
      </c>
      <c r="C282" t="str">
        <f>IFERROR([1]!OfficeForms.Table[[#This Row],[Session]],"")</f>
        <v/>
      </c>
      <c r="D282" t="str">
        <f>IFERROR([1]!OfficeForms.Table[[#This Row],[Players]],"")</f>
        <v/>
      </c>
    </row>
    <row r="283" spans="1:4" x14ac:dyDescent="0.35">
      <c r="A283" t="str">
        <f>IFERROR([1]!OfficeForms.Table[[#This Row],[Id]],"")</f>
        <v/>
      </c>
      <c r="B283" s="285" t="str">
        <f>IFERROR([1]!OfficeForms.Table[[#This Row],[Start time]],"")</f>
        <v/>
      </c>
      <c r="C283" t="str">
        <f>IFERROR([1]!OfficeForms.Table[[#This Row],[Session]],"")</f>
        <v/>
      </c>
      <c r="D283" t="str">
        <f>IFERROR([1]!OfficeForms.Table[[#This Row],[Players]],"")</f>
        <v/>
      </c>
    </row>
    <row r="284" spans="1:4" x14ac:dyDescent="0.35">
      <c r="A284" t="str">
        <f>IFERROR([1]!OfficeForms.Table[[#This Row],[Id]],"")</f>
        <v/>
      </c>
      <c r="B284" s="285" t="str">
        <f>IFERROR([1]!OfficeForms.Table[[#This Row],[Start time]],"")</f>
        <v/>
      </c>
      <c r="C284" t="str">
        <f>IFERROR([1]!OfficeForms.Table[[#This Row],[Session]],"")</f>
        <v/>
      </c>
      <c r="D284" t="str">
        <f>IFERROR([1]!OfficeForms.Table[[#This Row],[Players]],"")</f>
        <v/>
      </c>
    </row>
    <row r="285" spans="1:4" x14ac:dyDescent="0.35">
      <c r="A285" t="str">
        <f>IFERROR([1]!OfficeForms.Table[[#This Row],[Id]],"")</f>
        <v/>
      </c>
      <c r="B285" s="285" t="str">
        <f>IFERROR([1]!OfficeForms.Table[[#This Row],[Start time]],"")</f>
        <v/>
      </c>
      <c r="C285" t="str">
        <f>IFERROR([1]!OfficeForms.Table[[#This Row],[Session]],"")</f>
        <v/>
      </c>
      <c r="D285" t="str">
        <f>IFERROR([1]!OfficeForms.Table[[#This Row],[Players]],"")</f>
        <v/>
      </c>
    </row>
    <row r="286" spans="1:4" x14ac:dyDescent="0.35">
      <c r="A286" t="str">
        <f>IFERROR([1]!OfficeForms.Table[[#This Row],[Id]],"")</f>
        <v/>
      </c>
      <c r="B286" s="285" t="str">
        <f>IFERROR([1]!OfficeForms.Table[[#This Row],[Start time]],"")</f>
        <v/>
      </c>
      <c r="C286" t="str">
        <f>IFERROR([1]!OfficeForms.Table[[#This Row],[Session]],"")</f>
        <v/>
      </c>
      <c r="D286" t="str">
        <f>IFERROR([1]!OfficeForms.Table[[#This Row],[Players]],"")</f>
        <v/>
      </c>
    </row>
    <row r="287" spans="1:4" x14ac:dyDescent="0.35">
      <c r="A287" t="str">
        <f>IFERROR([1]!OfficeForms.Table[[#This Row],[Id]],"")</f>
        <v/>
      </c>
      <c r="B287" s="285" t="str">
        <f>IFERROR([1]!OfficeForms.Table[[#This Row],[Start time]],"")</f>
        <v/>
      </c>
      <c r="C287" t="str">
        <f>IFERROR([1]!OfficeForms.Table[[#This Row],[Session]],"")</f>
        <v/>
      </c>
      <c r="D287" t="str">
        <f>IFERROR([1]!OfficeForms.Table[[#This Row],[Players]],"")</f>
        <v/>
      </c>
    </row>
    <row r="288" spans="1:4" x14ac:dyDescent="0.35">
      <c r="A288" t="str">
        <f>IFERROR([1]!OfficeForms.Table[[#This Row],[Id]],"")</f>
        <v/>
      </c>
      <c r="B288" s="285" t="str">
        <f>IFERROR([1]!OfficeForms.Table[[#This Row],[Start time]],"")</f>
        <v/>
      </c>
      <c r="C288" t="str">
        <f>IFERROR([1]!OfficeForms.Table[[#This Row],[Session]],"")</f>
        <v/>
      </c>
      <c r="D288" t="str">
        <f>IFERROR([1]!OfficeForms.Table[[#This Row],[Players]],"")</f>
        <v/>
      </c>
    </row>
    <row r="289" spans="1:4" x14ac:dyDescent="0.35">
      <c r="A289" t="str">
        <f>IFERROR([1]!OfficeForms.Table[[#This Row],[Id]],"")</f>
        <v/>
      </c>
      <c r="B289" s="285" t="str">
        <f>IFERROR([1]!OfficeForms.Table[[#This Row],[Start time]],"")</f>
        <v/>
      </c>
      <c r="C289" t="str">
        <f>IFERROR([1]!OfficeForms.Table[[#This Row],[Session]],"")</f>
        <v/>
      </c>
      <c r="D289" t="str">
        <f>IFERROR([1]!OfficeForms.Table[[#This Row],[Players]],"")</f>
        <v/>
      </c>
    </row>
    <row r="290" spans="1:4" x14ac:dyDescent="0.35">
      <c r="A290" t="str">
        <f>IFERROR([1]!OfficeForms.Table[[#This Row],[Id]],"")</f>
        <v/>
      </c>
      <c r="B290" s="285" t="str">
        <f>IFERROR([1]!OfficeForms.Table[[#This Row],[Start time]],"")</f>
        <v/>
      </c>
      <c r="C290" t="str">
        <f>IFERROR([1]!OfficeForms.Table[[#This Row],[Session]],"")</f>
        <v/>
      </c>
      <c r="D290" t="str">
        <f>IFERROR([1]!OfficeForms.Table[[#This Row],[Players]],"")</f>
        <v/>
      </c>
    </row>
    <row r="291" spans="1:4" x14ac:dyDescent="0.35">
      <c r="A291" t="str">
        <f>IFERROR([1]!OfficeForms.Table[[#This Row],[Id]],"")</f>
        <v/>
      </c>
      <c r="B291" s="285" t="str">
        <f>IFERROR([1]!OfficeForms.Table[[#This Row],[Start time]],"")</f>
        <v/>
      </c>
      <c r="C291" t="str">
        <f>IFERROR([1]!OfficeForms.Table[[#This Row],[Session]],"")</f>
        <v/>
      </c>
      <c r="D291" t="str">
        <f>IFERROR([1]!OfficeForms.Table[[#This Row],[Players]],"")</f>
        <v/>
      </c>
    </row>
    <row r="292" spans="1:4" x14ac:dyDescent="0.35">
      <c r="A292" t="str">
        <f>IFERROR([1]!OfficeForms.Table[[#This Row],[Id]],"")</f>
        <v/>
      </c>
      <c r="B292" s="285" t="str">
        <f>IFERROR([1]!OfficeForms.Table[[#This Row],[Start time]],"")</f>
        <v/>
      </c>
      <c r="C292" t="str">
        <f>IFERROR([1]!OfficeForms.Table[[#This Row],[Session]],"")</f>
        <v/>
      </c>
      <c r="D292" t="str">
        <f>IFERROR([1]!OfficeForms.Table[[#This Row],[Players]],"")</f>
        <v/>
      </c>
    </row>
    <row r="293" spans="1:4" x14ac:dyDescent="0.35">
      <c r="A293" t="str">
        <f>IFERROR([1]!OfficeForms.Table[[#This Row],[Id]],"")</f>
        <v/>
      </c>
      <c r="B293" s="285" t="str">
        <f>IFERROR([1]!OfficeForms.Table[[#This Row],[Start time]],"")</f>
        <v/>
      </c>
      <c r="C293" t="str">
        <f>IFERROR([1]!OfficeForms.Table[[#This Row],[Session]],"")</f>
        <v/>
      </c>
      <c r="D293" t="str">
        <f>IFERROR([1]!OfficeForms.Table[[#This Row],[Players]],"")</f>
        <v/>
      </c>
    </row>
    <row r="294" spans="1:4" x14ac:dyDescent="0.35">
      <c r="A294" t="str">
        <f>IFERROR([1]!OfficeForms.Table[[#This Row],[Id]],"")</f>
        <v/>
      </c>
      <c r="B294" s="285" t="str">
        <f>IFERROR([1]!OfficeForms.Table[[#This Row],[Start time]],"")</f>
        <v/>
      </c>
      <c r="C294" t="str">
        <f>IFERROR([1]!OfficeForms.Table[[#This Row],[Session]],"")</f>
        <v/>
      </c>
      <c r="D294" t="str">
        <f>IFERROR([1]!OfficeForms.Table[[#This Row],[Players]],"")</f>
        <v/>
      </c>
    </row>
    <row r="295" spans="1:4" x14ac:dyDescent="0.35">
      <c r="A295" t="str">
        <f>IFERROR([1]!OfficeForms.Table[[#This Row],[Id]],"")</f>
        <v/>
      </c>
      <c r="B295" s="285" t="str">
        <f>IFERROR([1]!OfficeForms.Table[[#This Row],[Start time]],"")</f>
        <v/>
      </c>
      <c r="C295" t="str">
        <f>IFERROR([1]!OfficeForms.Table[[#This Row],[Session]],"")</f>
        <v/>
      </c>
      <c r="D295" t="str">
        <f>IFERROR([1]!OfficeForms.Table[[#This Row],[Players]],"")</f>
        <v/>
      </c>
    </row>
    <row r="296" spans="1:4" x14ac:dyDescent="0.35">
      <c r="A296" t="str">
        <f>IFERROR([1]!OfficeForms.Table[[#This Row],[Id]],"")</f>
        <v/>
      </c>
      <c r="B296" s="285" t="str">
        <f>IFERROR([1]!OfficeForms.Table[[#This Row],[Start time]],"")</f>
        <v/>
      </c>
      <c r="C296" t="str">
        <f>IFERROR([1]!OfficeForms.Table[[#This Row],[Session]],"")</f>
        <v/>
      </c>
      <c r="D296" t="str">
        <f>IFERROR([1]!OfficeForms.Table[[#This Row],[Players]],"")</f>
        <v/>
      </c>
    </row>
    <row r="297" spans="1:4" x14ac:dyDescent="0.35">
      <c r="A297" t="str">
        <f>IFERROR([1]!OfficeForms.Table[[#This Row],[Id]],"")</f>
        <v/>
      </c>
      <c r="B297" s="285" t="str">
        <f>IFERROR([1]!OfficeForms.Table[[#This Row],[Start time]],"")</f>
        <v/>
      </c>
      <c r="C297" t="str">
        <f>IFERROR([1]!OfficeForms.Table[[#This Row],[Session]],"")</f>
        <v/>
      </c>
      <c r="D297" t="str">
        <f>IFERROR([1]!OfficeForms.Table[[#This Row],[Players]],"")</f>
        <v/>
      </c>
    </row>
    <row r="298" spans="1:4" x14ac:dyDescent="0.35">
      <c r="A298" t="str">
        <f>IFERROR([1]!OfficeForms.Table[[#This Row],[Id]],"")</f>
        <v/>
      </c>
      <c r="B298" s="285" t="str">
        <f>IFERROR([1]!OfficeForms.Table[[#This Row],[Start time]],"")</f>
        <v/>
      </c>
      <c r="C298" t="str">
        <f>IFERROR([1]!OfficeForms.Table[[#This Row],[Session]],"")</f>
        <v/>
      </c>
      <c r="D298" t="str">
        <f>IFERROR([1]!OfficeForms.Table[[#This Row],[Players]],"")</f>
        <v/>
      </c>
    </row>
    <row r="299" spans="1:4" x14ac:dyDescent="0.35">
      <c r="A299" t="str">
        <f>IFERROR([1]!OfficeForms.Table[[#This Row],[Id]],"")</f>
        <v/>
      </c>
      <c r="B299" s="285" t="str">
        <f>IFERROR([1]!OfficeForms.Table[[#This Row],[Start time]],"")</f>
        <v/>
      </c>
      <c r="C299" t="str">
        <f>IFERROR([1]!OfficeForms.Table[[#This Row],[Session]],"")</f>
        <v/>
      </c>
      <c r="D299" t="str">
        <f>IFERROR([1]!OfficeForms.Table[[#This Row],[Players]],"")</f>
        <v/>
      </c>
    </row>
    <row r="300" spans="1:4" x14ac:dyDescent="0.35">
      <c r="A300" t="str">
        <f>IFERROR([1]!OfficeForms.Table[[#This Row],[Id]],"")</f>
        <v/>
      </c>
      <c r="B300" s="285" t="str">
        <f>IFERROR([1]!OfficeForms.Table[[#This Row],[Start time]],"")</f>
        <v/>
      </c>
      <c r="C300" t="str">
        <f>IFERROR([1]!OfficeForms.Table[[#This Row],[Session]],"")</f>
        <v/>
      </c>
      <c r="D300" t="str">
        <f>IFERROR([1]!OfficeForms.Table[[#This Row],[Players]],"")</f>
        <v/>
      </c>
    </row>
  </sheetData>
  <sheetProtection selectLockedCells="1" selectUnlockedCells="1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598FC-7F2E-EC45-B47B-1A1E51A32CAE}">
  <sheetPr>
    <tabColor rgb="FF0070C0"/>
  </sheetPr>
  <dimension ref="A1:K28"/>
  <sheetViews>
    <sheetView zoomScaleNormal="100" zoomScaleSheetLayoutView="100" workbookViewId="0">
      <selection activeCell="L47" sqref="L47"/>
    </sheetView>
  </sheetViews>
  <sheetFormatPr defaultColWidth="8.90625" defaultRowHeight="14.5" x14ac:dyDescent="0.35"/>
  <cols>
    <col min="1" max="1" width="21" customWidth="1"/>
    <col min="2" max="2" width="10.453125" customWidth="1"/>
    <col min="3" max="3" width="14.6328125" bestFit="1" customWidth="1"/>
    <col min="4" max="4" width="27.36328125" bestFit="1" customWidth="1"/>
    <col min="5" max="6" width="15.453125" style="3" customWidth="1"/>
    <col min="7" max="7" width="8.90625" customWidth="1"/>
    <col min="8" max="8" width="8.90625" style="2"/>
  </cols>
  <sheetData>
    <row r="1" spans="1:11" s="6" customFormat="1" ht="40" customHeight="1" thickBot="1" x14ac:dyDescent="0.4">
      <c r="A1" s="6" t="s">
        <v>1</v>
      </c>
      <c r="B1" s="6" t="s">
        <v>160</v>
      </c>
      <c r="C1" s="6" t="s">
        <v>179</v>
      </c>
      <c r="D1" s="6" t="s">
        <v>180</v>
      </c>
      <c r="E1" s="6" t="s">
        <v>85</v>
      </c>
      <c r="F1" s="5" t="s">
        <v>86</v>
      </c>
      <c r="G1" s="5" t="s">
        <v>87</v>
      </c>
      <c r="H1" s="5" t="s">
        <v>168</v>
      </c>
    </row>
    <row r="2" spans="1:11" x14ac:dyDescent="0.35">
      <c r="A2" s="158" t="s">
        <v>19</v>
      </c>
      <c r="B2" s="158" t="s">
        <v>64</v>
      </c>
      <c r="C2" s="158"/>
      <c r="D2" s="158"/>
      <c r="E2" s="1" t="s">
        <v>100</v>
      </c>
      <c r="F2" s="4" t="s">
        <v>34</v>
      </c>
      <c r="G2" s="4">
        <v>9</v>
      </c>
      <c r="H2" s="2" t="s">
        <v>169</v>
      </c>
      <c r="J2" s="9" t="s">
        <v>89</v>
      </c>
      <c r="K2" s="10">
        <f>COUNTIF(Squad[Kit Size],"S")</f>
        <v>3</v>
      </c>
    </row>
    <row r="3" spans="1:11" x14ac:dyDescent="0.35">
      <c r="A3" s="158" t="s">
        <v>21</v>
      </c>
      <c r="B3" s="158" t="s">
        <v>65</v>
      </c>
      <c r="C3" s="158" t="s">
        <v>222</v>
      </c>
      <c r="D3" s="158" t="s">
        <v>208</v>
      </c>
      <c r="E3" s="1" t="s">
        <v>106</v>
      </c>
      <c r="F3" s="4" t="s">
        <v>95</v>
      </c>
      <c r="G3" s="4">
        <v>20</v>
      </c>
      <c r="H3" s="2" t="s">
        <v>170</v>
      </c>
      <c r="J3" s="8" t="s">
        <v>91</v>
      </c>
      <c r="K3" s="11">
        <f>COUNTIF(Squad[Kit Size],"M")</f>
        <v>8</v>
      </c>
    </row>
    <row r="4" spans="1:11" x14ac:dyDescent="0.35">
      <c r="A4" s="158" t="s">
        <v>23</v>
      </c>
      <c r="B4" s="158" t="s">
        <v>66</v>
      </c>
      <c r="C4" s="158" t="s">
        <v>223</v>
      </c>
      <c r="D4" s="158" t="s">
        <v>221</v>
      </c>
      <c r="E4" s="1" t="s">
        <v>88</v>
      </c>
      <c r="F4" s="4" t="s">
        <v>53</v>
      </c>
      <c r="G4" s="4">
        <v>2</v>
      </c>
      <c r="H4" s="2" t="s">
        <v>170</v>
      </c>
      <c r="J4" s="8" t="s">
        <v>93</v>
      </c>
      <c r="K4" s="11">
        <f>COUNTIF(Squad[Kit Size],"l")</f>
        <v>6</v>
      </c>
    </row>
    <row r="5" spans="1:11" x14ac:dyDescent="0.35">
      <c r="A5" s="158" t="s">
        <v>25</v>
      </c>
      <c r="B5" s="158" t="s">
        <v>67</v>
      </c>
      <c r="C5" s="158"/>
      <c r="D5" s="158"/>
      <c r="E5" s="1" t="s">
        <v>94</v>
      </c>
      <c r="F5" s="4" t="s">
        <v>34</v>
      </c>
      <c r="G5" s="4">
        <v>5</v>
      </c>
      <c r="H5" s="2" t="s">
        <v>176</v>
      </c>
      <c r="J5" s="8" t="s">
        <v>95</v>
      </c>
      <c r="K5" s="11">
        <f>COUNTIF(Squad[Kit Size],"XL")</f>
        <v>2</v>
      </c>
    </row>
    <row r="6" spans="1:11" ht="15" thickBot="1" x14ac:dyDescent="0.4">
      <c r="A6" s="158" t="s">
        <v>26</v>
      </c>
      <c r="B6" s="158" t="s">
        <v>68</v>
      </c>
      <c r="C6" s="158" t="s">
        <v>214</v>
      </c>
      <c r="D6" s="158" t="s">
        <v>213</v>
      </c>
      <c r="E6" s="1" t="s">
        <v>109</v>
      </c>
      <c r="F6" s="4" t="s">
        <v>53</v>
      </c>
      <c r="G6" s="4">
        <v>76</v>
      </c>
      <c r="H6" s="2" t="s">
        <v>176</v>
      </c>
      <c r="J6" s="12" t="s">
        <v>97</v>
      </c>
      <c r="K6" s="13">
        <f>COUNTIF(Squad[Kit Size],"XXL")</f>
        <v>2</v>
      </c>
    </row>
    <row r="7" spans="1:11" ht="15" thickBot="1" x14ac:dyDescent="0.4">
      <c r="A7" s="158" t="s">
        <v>29</v>
      </c>
      <c r="B7" s="158" t="s">
        <v>69</v>
      </c>
      <c r="C7" s="158"/>
      <c r="D7" s="158"/>
      <c r="E7" s="1" t="s">
        <v>88</v>
      </c>
      <c r="F7" s="4" t="s">
        <v>34</v>
      </c>
      <c r="G7" s="4">
        <v>47</v>
      </c>
      <c r="H7" s="2" t="s">
        <v>169</v>
      </c>
    </row>
    <row r="8" spans="1:11" x14ac:dyDescent="0.35">
      <c r="A8" s="158" t="s">
        <v>175</v>
      </c>
      <c r="B8" s="158" t="s">
        <v>175</v>
      </c>
      <c r="C8" s="158" t="s">
        <v>183</v>
      </c>
      <c r="D8" s="158" t="s">
        <v>184</v>
      </c>
      <c r="E8" s="1"/>
      <c r="F8" s="4"/>
      <c r="G8" s="4"/>
      <c r="H8" s="2" t="s">
        <v>170</v>
      </c>
      <c r="J8" s="9" t="s">
        <v>173</v>
      </c>
      <c r="K8" s="10">
        <f>COUNTIF(Squad[Likely],"Y")</f>
        <v>17</v>
      </c>
    </row>
    <row r="9" spans="1:11" x14ac:dyDescent="0.35">
      <c r="A9" s="158" t="s">
        <v>171</v>
      </c>
      <c r="B9" s="158" t="s">
        <v>171</v>
      </c>
      <c r="C9" s="158"/>
      <c r="D9" s="158"/>
      <c r="E9" s="1"/>
      <c r="F9" s="4"/>
      <c r="G9" s="4"/>
      <c r="H9" s="2" t="s">
        <v>170</v>
      </c>
      <c r="J9" s="8" t="s">
        <v>174</v>
      </c>
      <c r="K9" s="11">
        <f>COUNTIF(Squad[Likely],"N")</f>
        <v>2</v>
      </c>
    </row>
    <row r="10" spans="1:11" ht="15" thickBot="1" x14ac:dyDescent="0.4">
      <c r="A10" s="158" t="s">
        <v>30</v>
      </c>
      <c r="B10" s="158" t="s">
        <v>70</v>
      </c>
      <c r="C10" s="158" t="s">
        <v>200</v>
      </c>
      <c r="D10" s="158" t="s">
        <v>199</v>
      </c>
      <c r="E10" s="1" t="s">
        <v>110</v>
      </c>
      <c r="F10" s="4" t="s">
        <v>97</v>
      </c>
      <c r="G10" s="4">
        <v>77</v>
      </c>
      <c r="H10" s="2" t="s">
        <v>170</v>
      </c>
      <c r="J10" s="12" t="s">
        <v>177</v>
      </c>
      <c r="K10" s="13">
        <f>COUNTIF(Squad[Likely],"Q")</f>
        <v>7</v>
      </c>
    </row>
    <row r="11" spans="1:11" x14ac:dyDescent="0.35">
      <c r="A11" s="158" t="s">
        <v>31</v>
      </c>
      <c r="B11" s="158" t="s">
        <v>71</v>
      </c>
      <c r="C11" s="158" t="s">
        <v>182</v>
      </c>
      <c r="D11" s="158" t="s">
        <v>181</v>
      </c>
      <c r="E11" s="1" t="s">
        <v>98</v>
      </c>
      <c r="F11" s="4" t="s">
        <v>34</v>
      </c>
      <c r="G11" s="4">
        <v>7</v>
      </c>
      <c r="H11" s="2" t="s">
        <v>176</v>
      </c>
    </row>
    <row r="12" spans="1:11" x14ac:dyDescent="0.35">
      <c r="A12" s="158" t="s">
        <v>32</v>
      </c>
      <c r="B12" s="158" t="s">
        <v>72</v>
      </c>
      <c r="C12" s="158" t="s">
        <v>202</v>
      </c>
      <c r="D12" s="158" t="s">
        <v>201</v>
      </c>
      <c r="E12" s="1" t="s">
        <v>104</v>
      </c>
      <c r="F12" s="4" t="s">
        <v>102</v>
      </c>
      <c r="G12" s="4">
        <v>17</v>
      </c>
      <c r="H12" s="2" t="s">
        <v>170</v>
      </c>
    </row>
    <row r="13" spans="1:11" x14ac:dyDescent="0.35">
      <c r="A13" s="158" t="s">
        <v>35</v>
      </c>
      <c r="B13" s="158" t="s">
        <v>73</v>
      </c>
      <c r="C13" s="158"/>
      <c r="D13" s="158"/>
      <c r="E13" s="1" t="s">
        <v>99</v>
      </c>
      <c r="F13" s="4" t="s">
        <v>53</v>
      </c>
      <c r="G13" s="4">
        <v>8</v>
      </c>
      <c r="H13" s="2" t="s">
        <v>170</v>
      </c>
    </row>
    <row r="14" spans="1:11" x14ac:dyDescent="0.35">
      <c r="A14" s="158" t="s">
        <v>36</v>
      </c>
      <c r="B14" s="158" t="s">
        <v>74</v>
      </c>
      <c r="C14" s="158" t="s">
        <v>196</v>
      </c>
      <c r="D14" s="158" t="s">
        <v>195</v>
      </c>
      <c r="E14" s="1" t="s">
        <v>108</v>
      </c>
      <c r="F14" s="4" t="s">
        <v>34</v>
      </c>
      <c r="G14" s="4">
        <v>24</v>
      </c>
      <c r="H14" s="2" t="s">
        <v>170</v>
      </c>
    </row>
    <row r="15" spans="1:11" x14ac:dyDescent="0.35">
      <c r="A15" s="158" t="s">
        <v>37</v>
      </c>
      <c r="B15" s="158" t="s">
        <v>75</v>
      </c>
      <c r="C15" s="158" t="s">
        <v>186</v>
      </c>
      <c r="D15" s="158" t="s">
        <v>185</v>
      </c>
      <c r="E15" s="1" t="s">
        <v>101</v>
      </c>
      <c r="F15" s="4" t="s">
        <v>102</v>
      </c>
      <c r="G15" s="4">
        <v>10</v>
      </c>
      <c r="H15" s="2" t="s">
        <v>176</v>
      </c>
    </row>
    <row r="16" spans="1:11" x14ac:dyDescent="0.35">
      <c r="A16" s="158" t="s">
        <v>38</v>
      </c>
      <c r="B16" s="158" t="s">
        <v>76</v>
      </c>
      <c r="C16" s="158" t="s">
        <v>194</v>
      </c>
      <c r="D16" s="158" t="s">
        <v>193</v>
      </c>
      <c r="E16" s="1" t="s">
        <v>103</v>
      </c>
      <c r="F16" s="4" t="s">
        <v>53</v>
      </c>
      <c r="G16" s="4">
        <v>15</v>
      </c>
      <c r="H16" s="2" t="s">
        <v>176</v>
      </c>
    </row>
    <row r="17" spans="1:8" x14ac:dyDescent="0.35">
      <c r="A17" s="158" t="s">
        <v>178</v>
      </c>
      <c r="B17" s="158" t="s">
        <v>178</v>
      </c>
      <c r="C17" s="158" t="s">
        <v>220</v>
      </c>
      <c r="D17" s="158" t="s">
        <v>219</v>
      </c>
      <c r="E17" s="1"/>
      <c r="F17" s="4"/>
      <c r="G17" s="4"/>
      <c r="H17" s="2" t="s">
        <v>170</v>
      </c>
    </row>
    <row r="18" spans="1:8" x14ac:dyDescent="0.35">
      <c r="A18" s="158" t="s">
        <v>39</v>
      </c>
      <c r="B18" s="158" t="s">
        <v>162</v>
      </c>
      <c r="C18" s="158" t="s">
        <v>187</v>
      </c>
      <c r="D18" s="158" t="s">
        <v>188</v>
      </c>
      <c r="E18" s="1" t="s">
        <v>96</v>
      </c>
      <c r="F18" s="4" t="s">
        <v>97</v>
      </c>
      <c r="G18" s="4">
        <v>6</v>
      </c>
      <c r="H18" s="2" t="s">
        <v>176</v>
      </c>
    </row>
    <row r="19" spans="1:8" x14ac:dyDescent="0.35">
      <c r="A19" s="158" t="s">
        <v>40</v>
      </c>
      <c r="B19" s="158" t="s">
        <v>163</v>
      </c>
      <c r="C19" s="158" t="s">
        <v>189</v>
      </c>
      <c r="D19" s="158"/>
      <c r="E19" s="1" t="s">
        <v>107</v>
      </c>
      <c r="F19" s="4" t="s">
        <v>53</v>
      </c>
      <c r="G19" s="4">
        <v>21</v>
      </c>
      <c r="H19" s="2" t="s">
        <v>170</v>
      </c>
    </row>
    <row r="20" spans="1:8" x14ac:dyDescent="0.35">
      <c r="A20" s="158" t="s">
        <v>123</v>
      </c>
      <c r="B20" s="158" t="s">
        <v>124</v>
      </c>
      <c r="C20" s="158"/>
      <c r="D20" s="158"/>
      <c r="E20" s="1" t="s">
        <v>126</v>
      </c>
      <c r="F20" s="4" t="s">
        <v>95</v>
      </c>
      <c r="G20" s="4"/>
      <c r="H20" s="2" t="s">
        <v>170</v>
      </c>
    </row>
    <row r="21" spans="1:8" x14ac:dyDescent="0.35">
      <c r="A21" s="158" t="s">
        <v>41</v>
      </c>
      <c r="B21" s="158" t="s">
        <v>77</v>
      </c>
      <c r="C21" s="158" t="s">
        <v>206</v>
      </c>
      <c r="D21" s="158" t="s">
        <v>205</v>
      </c>
      <c r="E21" s="1" t="s">
        <v>88</v>
      </c>
      <c r="F21" s="4" t="s">
        <v>102</v>
      </c>
      <c r="G21" s="4">
        <v>11</v>
      </c>
      <c r="H21" s="2" t="s">
        <v>170</v>
      </c>
    </row>
    <row r="22" spans="1:8" x14ac:dyDescent="0.35">
      <c r="A22" s="158" t="s">
        <v>172</v>
      </c>
      <c r="B22" s="158" t="s">
        <v>172</v>
      </c>
      <c r="C22" s="158" t="s">
        <v>218</v>
      </c>
      <c r="D22" s="158" t="s">
        <v>217</v>
      </c>
      <c r="E22" s="1"/>
      <c r="F22" s="4"/>
      <c r="G22" s="4"/>
      <c r="H22" s="2" t="s">
        <v>170</v>
      </c>
    </row>
    <row r="23" spans="1:8" x14ac:dyDescent="0.35">
      <c r="A23" s="158" t="s">
        <v>42</v>
      </c>
      <c r="B23" s="158" t="s">
        <v>78</v>
      </c>
      <c r="C23" s="158" t="s">
        <v>192</v>
      </c>
      <c r="D23" s="211" t="s">
        <v>207</v>
      </c>
      <c r="E23" s="1" t="s">
        <v>111</v>
      </c>
      <c r="F23" s="4" t="s">
        <v>53</v>
      </c>
      <c r="G23" s="4">
        <v>99</v>
      </c>
      <c r="H23" s="2" t="s">
        <v>170</v>
      </c>
    </row>
    <row r="24" spans="1:8" s="2" customFormat="1" x14ac:dyDescent="0.35">
      <c r="A24" s="158" t="s">
        <v>43</v>
      </c>
      <c r="B24" s="158" t="s">
        <v>79</v>
      </c>
      <c r="C24" s="158" t="s">
        <v>191</v>
      </c>
      <c r="D24" s="158" t="s">
        <v>190</v>
      </c>
      <c r="E24" s="1" t="s">
        <v>105</v>
      </c>
      <c r="F24" s="4" t="s">
        <v>53</v>
      </c>
      <c r="G24" s="4">
        <v>18</v>
      </c>
      <c r="H24" s="2" t="s">
        <v>170</v>
      </c>
    </row>
    <row r="25" spans="1:8" x14ac:dyDescent="0.35">
      <c r="A25" s="159" t="s">
        <v>159</v>
      </c>
      <c r="B25" s="159" t="s">
        <v>161</v>
      </c>
      <c r="C25" s="159" t="s">
        <v>203</v>
      </c>
      <c r="D25" s="159" t="s">
        <v>204</v>
      </c>
      <c r="E25" s="238"/>
      <c r="F25" s="7"/>
      <c r="G25" s="7"/>
      <c r="H25" s="2" t="s">
        <v>170</v>
      </c>
    </row>
    <row r="26" spans="1:8" x14ac:dyDescent="0.35">
      <c r="A26" s="158" t="s">
        <v>44</v>
      </c>
      <c r="B26" s="158" t="s">
        <v>80</v>
      </c>
      <c r="C26" s="158" t="s">
        <v>216</v>
      </c>
      <c r="D26" s="158" t="s">
        <v>215</v>
      </c>
      <c r="E26" s="1" t="s">
        <v>92</v>
      </c>
      <c r="F26" s="4" t="s">
        <v>34</v>
      </c>
      <c r="G26" s="4">
        <v>4</v>
      </c>
      <c r="H26" s="2" t="s">
        <v>176</v>
      </c>
    </row>
    <row r="27" spans="1:8" ht="15" thickBot="1" x14ac:dyDescent="0.4">
      <c r="A27" s="158" t="s">
        <v>46</v>
      </c>
      <c r="B27" s="158" t="s">
        <v>81</v>
      </c>
      <c r="C27" s="158" t="s">
        <v>198</v>
      </c>
      <c r="D27" s="158" t="s">
        <v>197</v>
      </c>
      <c r="E27" s="1" t="s">
        <v>90</v>
      </c>
      <c r="F27" s="4" t="s">
        <v>53</v>
      </c>
      <c r="G27" s="4">
        <v>3</v>
      </c>
      <c r="H27" s="2" t="s">
        <v>170</v>
      </c>
    </row>
    <row r="28" spans="1:8" ht="15" thickBot="1" x14ac:dyDescent="0.4">
      <c r="A28" s="161">
        <f>SUBTOTAL(103,Squad[Name])</f>
        <v>26</v>
      </c>
      <c r="B28" s="163"/>
      <c r="C28" s="163"/>
      <c r="D28" s="163"/>
      <c r="E28" s="175"/>
      <c r="F28" s="174"/>
      <c r="G28" s="162"/>
      <c r="H28" s="199">
        <f>SUBTOTAL(103,Squad[Likely])</f>
        <v>26</v>
      </c>
    </row>
  </sheetData>
  <conditionalFormatting sqref="G2:G28">
    <cfRule type="duplicateValues" dxfId="0" priority="20"/>
  </conditionalFormatting>
  <hyperlinks>
    <hyperlink ref="D23" r:id="rId1" display="mailto:davies.ronnie1@icloud.com" xr:uid="{57CB22E5-A6CB-414C-B40A-ABE53676375B}"/>
  </hyperlinks>
  <pageMargins left="0.7" right="0.7" top="0.75" bottom="0.75" header="0.3" footer="0.3"/>
  <pageSetup paperSize="9" orientation="portrait" horizontalDpi="0" verticalDpi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3B933-E953-4E4E-86B2-D30B2F984170}">
  <dimension ref="B1:F43"/>
  <sheetViews>
    <sheetView workbookViewId="0">
      <selection activeCell="C26" sqref="C26"/>
    </sheetView>
  </sheetViews>
  <sheetFormatPr defaultColWidth="8.90625" defaultRowHeight="14.5" x14ac:dyDescent="0.35"/>
  <cols>
    <col min="2" max="2" width="19.7265625" bestFit="1" customWidth="1"/>
    <col min="3" max="3" width="27.26953125" style="2" bestFit="1" customWidth="1"/>
    <col min="4" max="4" width="9.1796875" bestFit="1" customWidth="1"/>
    <col min="5" max="5" width="19.7265625" bestFit="1" customWidth="1"/>
    <col min="6" max="6" width="27.26953125" style="2" bestFit="1" customWidth="1"/>
    <col min="9" max="10" width="8.90625" customWidth="1"/>
    <col min="12" max="13" width="8.90625" customWidth="1"/>
  </cols>
  <sheetData>
    <row r="1" spans="2:6" x14ac:dyDescent="0.35">
      <c r="C1"/>
      <c r="F1"/>
    </row>
    <row r="3" spans="2:6" ht="15" thickBot="1" x14ac:dyDescent="0.4">
      <c r="C3"/>
      <c r="F3"/>
    </row>
    <row r="4" spans="2:6" x14ac:dyDescent="0.35">
      <c r="B4" s="37" t="s">
        <v>137</v>
      </c>
      <c r="C4" s="47" t="s">
        <v>138</v>
      </c>
    </row>
    <row r="5" spans="2:6" x14ac:dyDescent="0.35">
      <c r="B5" s="49" t="s">
        <v>115</v>
      </c>
      <c r="C5" s="50">
        <v>55</v>
      </c>
    </row>
    <row r="6" spans="2:6" ht="15" thickBot="1" x14ac:dyDescent="0.4">
      <c r="B6" s="38" t="s">
        <v>114</v>
      </c>
      <c r="C6" s="48">
        <v>15</v>
      </c>
    </row>
    <row r="7" spans="2:6" ht="15" thickBot="1" x14ac:dyDescent="0.4">
      <c r="C7"/>
      <c r="F7"/>
    </row>
    <row r="8" spans="2:6" x14ac:dyDescent="0.35">
      <c r="B8" s="23" t="s">
        <v>116</v>
      </c>
      <c r="C8" s="45" t="s">
        <v>120</v>
      </c>
      <c r="F8"/>
    </row>
    <row r="9" spans="2:6" x14ac:dyDescent="0.35">
      <c r="B9" s="26" t="s">
        <v>117</v>
      </c>
      <c r="C9" s="44">
        <v>23719049</v>
      </c>
      <c r="F9"/>
    </row>
    <row r="10" spans="2:6" ht="15" thickBot="1" x14ac:dyDescent="0.4">
      <c r="B10" s="35" t="s">
        <v>118</v>
      </c>
      <c r="C10" s="46" t="s">
        <v>119</v>
      </c>
      <c r="F10"/>
    </row>
    <row r="11" spans="2:6" x14ac:dyDescent="0.35">
      <c r="F11"/>
    </row>
    <row r="12" spans="2:6" x14ac:dyDescent="0.35">
      <c r="F12"/>
    </row>
    <row r="13" spans="2:6" x14ac:dyDescent="0.35">
      <c r="B13" s="176" t="s">
        <v>209</v>
      </c>
      <c r="F13"/>
    </row>
    <row r="14" spans="2:6" x14ac:dyDescent="0.35">
      <c r="F14"/>
    </row>
    <row r="15" spans="2:6" x14ac:dyDescent="0.35">
      <c r="B15" s="176" t="s">
        <v>210</v>
      </c>
      <c r="F15"/>
    </row>
    <row r="16" spans="2:6" x14ac:dyDescent="0.35">
      <c r="F16"/>
    </row>
    <row r="17" spans="3:6" x14ac:dyDescent="0.35">
      <c r="F17"/>
    </row>
    <row r="18" spans="3:6" x14ac:dyDescent="0.35">
      <c r="F18"/>
    </row>
    <row r="19" spans="3:6" x14ac:dyDescent="0.35">
      <c r="F19"/>
    </row>
    <row r="20" spans="3:6" x14ac:dyDescent="0.35">
      <c r="F20"/>
    </row>
    <row r="21" spans="3:6" x14ac:dyDescent="0.35">
      <c r="F21"/>
    </row>
    <row r="22" spans="3:6" x14ac:dyDescent="0.35">
      <c r="C22"/>
      <c r="F22"/>
    </row>
    <row r="23" spans="3:6" x14ac:dyDescent="0.35">
      <c r="C23"/>
      <c r="F23"/>
    </row>
    <row r="24" spans="3:6" x14ac:dyDescent="0.35">
      <c r="F24"/>
    </row>
    <row r="25" spans="3:6" x14ac:dyDescent="0.35">
      <c r="F25"/>
    </row>
    <row r="26" spans="3:6" x14ac:dyDescent="0.35">
      <c r="F26"/>
    </row>
    <row r="27" spans="3:6" x14ac:dyDescent="0.35">
      <c r="C27"/>
      <c r="F27"/>
    </row>
    <row r="28" spans="3:6" x14ac:dyDescent="0.35">
      <c r="C28"/>
      <c r="F28"/>
    </row>
    <row r="29" spans="3:6" x14ac:dyDescent="0.35">
      <c r="C29"/>
      <c r="F29"/>
    </row>
    <row r="30" spans="3:6" x14ac:dyDescent="0.35">
      <c r="C30"/>
      <c r="F30"/>
    </row>
    <row r="31" spans="3:6" x14ac:dyDescent="0.35">
      <c r="C31"/>
      <c r="F31"/>
    </row>
    <row r="32" spans="3:6" x14ac:dyDescent="0.35">
      <c r="C32"/>
      <c r="F32"/>
    </row>
    <row r="33" spans="3:6" x14ac:dyDescent="0.35">
      <c r="C33"/>
      <c r="F33"/>
    </row>
    <row r="34" spans="3:6" x14ac:dyDescent="0.35">
      <c r="C34"/>
      <c r="F34"/>
    </row>
    <row r="35" spans="3:6" x14ac:dyDescent="0.35">
      <c r="C35"/>
      <c r="F35"/>
    </row>
    <row r="36" spans="3:6" x14ac:dyDescent="0.35">
      <c r="C36"/>
      <c r="F36"/>
    </row>
    <row r="37" spans="3:6" x14ac:dyDescent="0.35">
      <c r="C37"/>
      <c r="F37"/>
    </row>
    <row r="38" spans="3:6" x14ac:dyDescent="0.35">
      <c r="C38"/>
      <c r="F38"/>
    </row>
    <row r="39" spans="3:6" x14ac:dyDescent="0.35">
      <c r="C39"/>
      <c r="F39"/>
    </row>
    <row r="40" spans="3:6" x14ac:dyDescent="0.35">
      <c r="C40"/>
      <c r="F40"/>
    </row>
    <row r="41" spans="3:6" x14ac:dyDescent="0.35">
      <c r="C41"/>
      <c r="F41"/>
    </row>
    <row r="42" spans="3:6" x14ac:dyDescent="0.35">
      <c r="C42"/>
      <c r="F42"/>
    </row>
    <row r="43" spans="3:6" x14ac:dyDescent="0.35">
      <c r="C43"/>
    </row>
  </sheetData>
  <hyperlinks>
    <hyperlink ref="B13" r:id="rId1" display="https://dansmith75.github.io/Welling-Utd-Red-OBDSFL/" xr:uid="{6CC43C07-B751-429C-AA5B-AD951824B526}"/>
    <hyperlink ref="B15" r:id="rId2" display="https://fulltime.thefa.com/index.html;jsessionid=C6EE3D8A34BFB8C0415D6040D02619EB?selectedSeason=721199989&amp;selectedFixtureGroupAgeGroup=0&amp;selectedDivision=895449857&amp;selectedCompetition=0" xr:uid="{B3876E6A-5F2B-4C6D-ACA3-CF5599AB243E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E776FF-A051-48EA-8A66-79E80EB1CD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Fixtures</vt:lpstr>
      <vt:lpstr>Goals</vt:lpstr>
      <vt:lpstr>Assists</vt:lpstr>
      <vt:lpstr>Events</vt:lpstr>
      <vt:lpstr>Match Attendance</vt:lpstr>
      <vt:lpstr>Training Attendance</vt:lpstr>
      <vt:lpstr>Match Info</vt:lpstr>
      <vt:lpstr>Monthly Fees</vt:lpstr>
      <vt:lpstr>Ledger</vt:lpstr>
      <vt:lpstr>Player Costs</vt:lpstr>
      <vt:lpstr>Attendance</vt:lpstr>
      <vt:lpstr>Squad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 Smith</dc:creator>
  <cp:keywords/>
  <dc:description/>
  <cp:lastModifiedBy>Dan Smith</cp:lastModifiedBy>
  <cp:revision/>
  <dcterms:created xsi:type="dcterms:W3CDTF">2025-07-29T14:28:39Z</dcterms:created>
  <dcterms:modified xsi:type="dcterms:W3CDTF">2026-06-30T15:19:44Z</dcterms:modified>
  <cp:category/>
  <cp:contentStatus/>
</cp:coreProperties>
</file>